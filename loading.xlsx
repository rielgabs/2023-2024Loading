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elG\Desktop\sched\"/>
    </mc:Choice>
  </mc:AlternateContent>
  <bookViews>
    <workbookView xWindow="-105" yWindow="-105" windowWidth="19425" windowHeight="10425" tabRatio="868" activeTab="8"/>
  </bookViews>
  <sheets>
    <sheet name="Faculty" sheetId="27" r:id="rId1"/>
    <sheet name="Casiño G" sheetId="53" r:id="rId2"/>
    <sheet name="CasiñoK" sheetId="50" r:id="rId3"/>
    <sheet name="Caturan A" sheetId="52" r:id="rId4"/>
    <sheet name="Actub P" sheetId="26" r:id="rId5"/>
    <sheet name="DelRosario J" sheetId="24" r:id="rId6"/>
    <sheet name="Eduave G" sheetId="37" r:id="rId7"/>
    <sheet name="Llemit A" sheetId="35" r:id="rId8"/>
    <sheet name="Molawan A" sheetId="41" r:id="rId9"/>
    <sheet name="Oyok A" sheetId="31" r:id="rId10"/>
    <sheet name="Pada J" sheetId="44" r:id="rId11"/>
    <sheet name="Padilla J" sheetId="23" r:id="rId12"/>
    <sheet name="Perez N" sheetId="32" r:id="rId13"/>
    <sheet name="Razalo J" sheetId="28" r:id="rId14"/>
    <sheet name="Roa N" sheetId="36" r:id="rId15"/>
    <sheet name="Tabada J" sheetId="42" r:id="rId16"/>
    <sheet name="Waga KR" sheetId="22" r:id="rId17"/>
    <sheet name="Lagulay E" sheetId="46" r:id="rId18"/>
    <sheet name="Romero M" sheetId="47" r:id="rId19"/>
    <sheet name="Ubalde M" sheetId="51" r:id="rId20"/>
    <sheet name="Ranara L" sheetId="54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24" roundtripDataSignature="AMtx7mjfrM/eHJR5429m+18epImPtE61Vg=="/>
    </ext>
  </extLst>
</workbook>
</file>

<file path=xl/calcChain.xml><?xml version="1.0" encoding="utf-8"?>
<calcChain xmlns="http://schemas.openxmlformats.org/spreadsheetml/2006/main">
  <c r="E8" i="27" l="1"/>
  <c r="D8" i="27"/>
  <c r="F5" i="27"/>
  <c r="E5" i="27"/>
  <c r="D5" i="27"/>
  <c r="C5" i="27"/>
  <c r="L26" i="53"/>
  <c r="K26" i="53"/>
  <c r="K50" i="24"/>
  <c r="L50" i="24"/>
  <c r="K34" i="23"/>
  <c r="K45" i="23"/>
  <c r="L45" i="23"/>
  <c r="K49" i="52"/>
  <c r="L49" i="52"/>
  <c r="K27" i="52"/>
  <c r="L27" i="52"/>
  <c r="K27" i="24"/>
  <c r="L27" i="24"/>
  <c r="K28" i="44"/>
  <c r="L24" i="54" l="1"/>
  <c r="K24" i="54"/>
  <c r="L19" i="54"/>
  <c r="K19" i="54"/>
  <c r="K46" i="31"/>
  <c r="L46" i="31"/>
  <c r="K22" i="31"/>
  <c r="L22" i="31"/>
  <c r="K41" i="41"/>
  <c r="K51" i="41"/>
  <c r="L51" i="41"/>
  <c r="K51" i="44"/>
  <c r="L51" i="44"/>
  <c r="L28" i="44"/>
  <c r="K39" i="54" l="1"/>
  <c r="L39" i="54"/>
  <c r="K32" i="54"/>
  <c r="L22" i="23" l="1"/>
  <c r="K41" i="32"/>
  <c r="K41" i="36" l="1"/>
  <c r="K51" i="36"/>
  <c r="L51" i="36"/>
  <c r="K37" i="46" l="1"/>
  <c r="L37" i="46"/>
  <c r="D3" i="27"/>
  <c r="K47" i="42" l="1"/>
  <c r="L47" i="42"/>
  <c r="K37" i="22"/>
  <c r="L29" i="22"/>
  <c r="K42" i="44"/>
  <c r="K41" i="37" l="1"/>
  <c r="L41" i="37"/>
  <c r="K46" i="35"/>
  <c r="K20" i="37"/>
  <c r="L20" i="37"/>
  <c r="L42" i="53"/>
  <c r="E3" i="27" s="1"/>
  <c r="K42" i="53"/>
  <c r="K33" i="53"/>
  <c r="K34" i="53" s="1"/>
  <c r="K19" i="53"/>
  <c r="K43" i="53" l="1"/>
  <c r="L43" i="53"/>
  <c r="L46" i="35" l="1"/>
  <c r="L22" i="35"/>
  <c r="K27" i="41" l="1"/>
  <c r="L27" i="41"/>
  <c r="K50" i="52"/>
  <c r="K40" i="52"/>
  <c r="L32" i="52"/>
  <c r="K32" i="52"/>
  <c r="L50" i="52" l="1"/>
  <c r="K41" i="52"/>
  <c r="K51" i="28"/>
  <c r="L51" i="28"/>
  <c r="L24" i="51" l="1"/>
  <c r="K24" i="51"/>
  <c r="L19" i="51"/>
  <c r="K19" i="51"/>
  <c r="K39" i="51" s="1"/>
  <c r="K32" i="51" l="1"/>
  <c r="L39" i="51"/>
  <c r="L33" i="44" l="1"/>
  <c r="E6" i="27"/>
  <c r="L32" i="24"/>
  <c r="D6" i="27" s="1"/>
  <c r="K32" i="24"/>
  <c r="L51" i="24"/>
  <c r="C12" i="27"/>
  <c r="K51" i="24" l="1"/>
  <c r="C6" i="27"/>
  <c r="K42" i="24"/>
  <c r="K51" i="32" l="1"/>
  <c r="K28" i="36" l="1"/>
  <c r="L28" i="36"/>
  <c r="K47" i="35"/>
  <c r="E10" i="27"/>
  <c r="L51" i="32"/>
  <c r="L45" i="50"/>
  <c r="E4" i="27" s="1"/>
  <c r="K45" i="50"/>
  <c r="K35" i="50"/>
  <c r="L27" i="50"/>
  <c r="D4" i="27" s="1"/>
  <c r="K27" i="50"/>
  <c r="L22" i="50"/>
  <c r="K22" i="50"/>
  <c r="L22" i="26"/>
  <c r="C2" i="27" s="1"/>
  <c r="L46" i="50" l="1"/>
  <c r="K46" i="50"/>
  <c r="C4" i="27"/>
  <c r="F4" i="27" s="1"/>
  <c r="K36" i="50"/>
  <c r="K47" i="22"/>
  <c r="D14" i="27" l="1"/>
  <c r="K35" i="31" l="1"/>
  <c r="K36" i="35"/>
  <c r="K32" i="37"/>
  <c r="K34" i="26"/>
  <c r="L24" i="47"/>
  <c r="K24" i="47"/>
  <c r="L19" i="47"/>
  <c r="K19" i="47"/>
  <c r="L24" i="46"/>
  <c r="K24" i="46"/>
  <c r="L19" i="46"/>
  <c r="K19" i="46"/>
  <c r="F20" i="27"/>
  <c r="E11" i="27"/>
  <c r="D11" i="27"/>
  <c r="K33" i="44"/>
  <c r="E16" i="27"/>
  <c r="L30" i="42"/>
  <c r="D16" i="27" s="1"/>
  <c r="K30" i="42"/>
  <c r="L25" i="42"/>
  <c r="C16" i="27" s="1"/>
  <c r="K25" i="42"/>
  <c r="E9" i="27"/>
  <c r="L32" i="41"/>
  <c r="D9" i="27" s="1"/>
  <c r="K32" i="41"/>
  <c r="C9" i="27"/>
  <c r="E7" i="27"/>
  <c r="L25" i="37"/>
  <c r="D7" i="27" s="1"/>
  <c r="K25" i="37"/>
  <c r="E15" i="27"/>
  <c r="L33" i="36"/>
  <c r="D15" i="27" s="1"/>
  <c r="K33" i="36"/>
  <c r="C15" i="27"/>
  <c r="L27" i="35"/>
  <c r="K27" i="35"/>
  <c r="E13" i="27"/>
  <c r="L33" i="32"/>
  <c r="D13" i="27" s="1"/>
  <c r="K33" i="32"/>
  <c r="L28" i="32"/>
  <c r="C13" i="27" s="1"/>
  <c r="K28" i="32"/>
  <c r="L27" i="31"/>
  <c r="D10" i="27" s="1"/>
  <c r="K27" i="31"/>
  <c r="K45" i="26"/>
  <c r="L45" i="26"/>
  <c r="E2" i="27" s="1"/>
  <c r="E14" i="27"/>
  <c r="L32" i="28"/>
  <c r="K32" i="28"/>
  <c r="L27" i="28"/>
  <c r="C14" i="27" s="1"/>
  <c r="K27" i="28"/>
  <c r="L27" i="26"/>
  <c r="D2" i="27" s="1"/>
  <c r="K27" i="26"/>
  <c r="K22" i="26"/>
  <c r="E12" i="27"/>
  <c r="F12" i="27" s="1"/>
  <c r="L27" i="23"/>
  <c r="K27" i="23"/>
  <c r="K22" i="23"/>
  <c r="E17" i="27"/>
  <c r="D17" i="27"/>
  <c r="K29" i="22"/>
  <c r="L24" i="22"/>
  <c r="C17" i="27" s="1"/>
  <c r="K24" i="22"/>
  <c r="L47" i="31" l="1"/>
  <c r="F6" i="27"/>
  <c r="C10" i="27"/>
  <c r="F10" i="27" s="1"/>
  <c r="K47" i="31"/>
  <c r="F16" i="27"/>
  <c r="F9" i="27"/>
  <c r="K46" i="23"/>
  <c r="L41" i="47"/>
  <c r="K41" i="47"/>
  <c r="K52" i="36"/>
  <c r="F17" i="27"/>
  <c r="F3" i="27"/>
  <c r="F2" i="27"/>
  <c r="K32" i="47"/>
  <c r="K38" i="46"/>
  <c r="L38" i="46"/>
  <c r="K30" i="46"/>
  <c r="F14" i="27"/>
  <c r="K52" i="41"/>
  <c r="F15" i="27"/>
  <c r="F13" i="27"/>
  <c r="L52" i="36"/>
  <c r="L52" i="41"/>
  <c r="L48" i="42"/>
  <c r="K48" i="42"/>
  <c r="K40" i="42"/>
  <c r="K42" i="41"/>
  <c r="K42" i="36"/>
  <c r="K52" i="32"/>
  <c r="L52" i="32"/>
  <c r="K42" i="32"/>
  <c r="K46" i="26"/>
  <c r="K36" i="31"/>
  <c r="K52" i="28"/>
  <c r="L52" i="28"/>
  <c r="K42" i="28"/>
  <c r="L46" i="26"/>
  <c r="K35" i="26"/>
  <c r="L46" i="23"/>
  <c r="K35" i="23"/>
  <c r="K48" i="22"/>
  <c r="L48" i="22"/>
  <c r="K38" i="22"/>
  <c r="K52" i="44" l="1"/>
  <c r="L52" i="44"/>
  <c r="C11" i="27" l="1"/>
  <c r="F11" i="27" s="1"/>
  <c r="K43" i="44"/>
  <c r="C8" i="27"/>
  <c r="K37" i="35"/>
  <c r="L47" i="35" s="1"/>
  <c r="F8" i="27" s="1"/>
  <c r="L42" i="37" l="1"/>
  <c r="K33" i="37"/>
  <c r="C7" i="27"/>
  <c r="F7" i="27"/>
  <c r="K42" i="37"/>
  <c r="K22" i="35"/>
</calcChain>
</file>

<file path=xl/sharedStrings.xml><?xml version="1.0" encoding="utf-8"?>
<sst xmlns="http://schemas.openxmlformats.org/spreadsheetml/2006/main" count="2665" uniqueCount="301">
  <si>
    <t>TCC-ADMN-Form 001</t>
  </si>
  <si>
    <t>TAGOLOAN COMMUNITY COLLEGE</t>
  </si>
  <si>
    <t>Baluarte, Tagoloan Misamis Oriental</t>
  </si>
  <si>
    <t>(08822)750-835</t>
  </si>
  <si>
    <t>Member: Association of Local Colleges &amp; Universities (ALCU)</t>
  </si>
  <si>
    <t>Individual Faculty Load Sheet</t>
  </si>
  <si>
    <t>Employment Status: (Put X)</t>
  </si>
  <si>
    <t>Regular</t>
  </si>
  <si>
    <t>Contractual</t>
  </si>
  <si>
    <t>Probationary</t>
  </si>
  <si>
    <t>Part-Time</t>
  </si>
  <si>
    <t>TEACHING LOAD</t>
  </si>
  <si>
    <t xml:space="preserve"> A. Basic Load/Built-In</t>
  </si>
  <si>
    <t>Subj Code</t>
  </si>
  <si>
    <t>Descriptive Title</t>
  </si>
  <si>
    <t>Day</t>
  </si>
  <si>
    <t>Time</t>
  </si>
  <si>
    <t>Room</t>
  </si>
  <si>
    <t>Section</t>
  </si>
  <si>
    <t>No. of Students</t>
  </si>
  <si>
    <t xml:space="preserve">Units </t>
  </si>
  <si>
    <t>Total</t>
  </si>
  <si>
    <t xml:space="preserve">Total </t>
  </si>
  <si>
    <t>(lec)</t>
  </si>
  <si>
    <t>(lab)</t>
  </si>
  <si>
    <t>Units</t>
  </si>
  <si>
    <t>Hours</t>
  </si>
  <si>
    <t>Wed</t>
  </si>
  <si>
    <t>Tue</t>
  </si>
  <si>
    <t>TOTAL NUMBER OF UNITS/HRS (BASIC) :</t>
  </si>
  <si>
    <t>B. Other Academic-Related Functions</t>
  </si>
  <si>
    <t>TOTAL NUMBER OF UNITS/HRS (OTHER FUNCTIONS):</t>
  </si>
  <si>
    <t>C. Consultation Hours</t>
  </si>
  <si>
    <t>Venue</t>
  </si>
  <si>
    <t>Number of hrs</t>
  </si>
  <si>
    <t xml:space="preserve">TOTAL NUMBER OF UNITS/HRS (CONSULTATION): </t>
  </si>
  <si>
    <t>SUB-TOTAL (A-C)</t>
  </si>
  <si>
    <t>D. Overload</t>
  </si>
  <si>
    <t>Thu</t>
  </si>
  <si>
    <t>TOTAL NUMBER OF UNITS / HRS (OVERLOAD)</t>
  </si>
  <si>
    <t>GRAND TOTAL NUMBER OF UNITS/HRS (A-D)</t>
  </si>
  <si>
    <t>Prepared by:</t>
  </si>
  <si>
    <t>Noted:</t>
  </si>
  <si>
    <t>Mr. Gabriel E. Casiño</t>
  </si>
  <si>
    <t>Ms. Merilyn A.Tangon</t>
  </si>
  <si>
    <t>Department Head</t>
  </si>
  <si>
    <t>Vice President for Academic Affairs</t>
  </si>
  <si>
    <t>OIC - President</t>
  </si>
  <si>
    <t>Conforme'</t>
  </si>
  <si>
    <t>Mon</t>
  </si>
  <si>
    <t>Fri</t>
  </si>
  <si>
    <t>IT Teachnical and Comp. Lab 1 Incharge</t>
  </si>
  <si>
    <t>College Secretary</t>
  </si>
  <si>
    <t>Tload</t>
  </si>
  <si>
    <t>Other</t>
  </si>
  <si>
    <t>OverLoad</t>
  </si>
  <si>
    <t>Surname: Llemit                                          Given Name:  Arnel                                                      MI:  S</t>
  </si>
  <si>
    <t xml:space="preserve">Surname: Del Rosario                                       Given Name: Jefrey                                                      MI: </t>
  </si>
  <si>
    <t>Surname: Eduave                                          Given Name: Geleen                                                       MI: O</t>
  </si>
  <si>
    <t>Surname: Molawan                                       Given Name: Aldrin                                                   MI: T</t>
  </si>
  <si>
    <t>Surname: Oyok                                          Given Name: Azmie                                                       MI: A</t>
  </si>
  <si>
    <t>Surname: Perez                                          Given Name: Nikko                                                      MI: A</t>
  </si>
  <si>
    <t>Surname: Pada                                          Given Name: Jan James                                                      MI: M</t>
  </si>
  <si>
    <t>Surname: Roa                                           Given Name:  Neptale  III                                                  MI: S</t>
  </si>
  <si>
    <t xml:space="preserve">Surname:Waga                                          Given Name: Kay Rejoice                                                      MI: C </t>
  </si>
  <si>
    <t>Surname: Razalo                                          Given Name: Janu Vincent                                                       MI: A</t>
  </si>
  <si>
    <t>Surname: Tabada                                          Given Name: Jasmin                                                     MI: A</t>
  </si>
  <si>
    <t>Surname: Padilla                                          Given Name: Joniel                                                    MI: E</t>
  </si>
  <si>
    <t>IT Administrator's Associate</t>
  </si>
  <si>
    <t>Surname: Lagulay                                          Given Name: Eldefonso                                                   MI: C</t>
  </si>
  <si>
    <t xml:space="preserve">Surname: Romero                                        Given Name: Marlo                                                   MI: </t>
  </si>
  <si>
    <t>Computer Lab</t>
  </si>
  <si>
    <t>10:00 - 5:00 PM</t>
  </si>
  <si>
    <t>8:00-12PM</t>
  </si>
  <si>
    <t>1:00-2PM</t>
  </si>
  <si>
    <t>Computer Lab/IT Office</t>
  </si>
  <si>
    <t>IT Office</t>
  </si>
  <si>
    <t>1st Term Academic Year 2023 - 2024</t>
  </si>
  <si>
    <t>Surname: Actub                                          Given Name:  Panfilo Jr.                                                      MI: A</t>
  </si>
  <si>
    <t>07:00 AM-10:00 AM</t>
  </si>
  <si>
    <t>Online</t>
  </si>
  <si>
    <t>10:00 AM-01:00 PM</t>
  </si>
  <si>
    <t>01:00 PM-04:00 PM</t>
  </si>
  <si>
    <t>IT Teachnical and Comp. Lab 1-2 Incharge</t>
  </si>
  <si>
    <t>IT 130</t>
  </si>
  <si>
    <t>Networking 2</t>
  </si>
  <si>
    <t>Lab1</t>
  </si>
  <si>
    <t>03:00 PM-05:00 PM</t>
  </si>
  <si>
    <t>04:00 PM-07:00 PM</t>
  </si>
  <si>
    <t>Sat</t>
  </si>
  <si>
    <t>IT 132</t>
  </si>
  <si>
    <t>Capstone Project 2</t>
  </si>
  <si>
    <t>01:00 PM-03:00 PM</t>
  </si>
  <si>
    <t>GEE 9</t>
  </si>
  <si>
    <t>Technoprenuership (The Entrepreneurial Mind)</t>
  </si>
  <si>
    <t>TTH</t>
  </si>
  <si>
    <t>10:00 AM-12:30 AM</t>
  </si>
  <si>
    <t>MW</t>
  </si>
  <si>
    <t>02:30 PM-04:00 PM</t>
  </si>
  <si>
    <t>08:30 AM-10:00 PM</t>
  </si>
  <si>
    <t>IT 109</t>
  </si>
  <si>
    <t>Fundamentals of Database Systems</t>
  </si>
  <si>
    <t>Lab3</t>
  </si>
  <si>
    <t>09:00 AM-11:00 AM</t>
  </si>
  <si>
    <t>12:00 PM-02:00 PM</t>
  </si>
  <si>
    <t>11:00 AM-01:00 PM</t>
  </si>
  <si>
    <t>Lab4</t>
  </si>
  <si>
    <t>07:00 AM-09:00 AM</t>
  </si>
  <si>
    <t>IT Elec 2</t>
  </si>
  <si>
    <t>Computer Graphics</t>
  </si>
  <si>
    <t>Lab2</t>
  </si>
  <si>
    <t>01:00 PM-04:00PM</t>
  </si>
  <si>
    <t>01:00 PM-03:00PM</t>
  </si>
  <si>
    <t>IT 107</t>
  </si>
  <si>
    <t>Application Development &amp; Emerging Technologies</t>
  </si>
  <si>
    <t>IT 131</t>
  </si>
  <si>
    <t>Web System and Technologies</t>
  </si>
  <si>
    <t>IT 111</t>
  </si>
  <si>
    <t>Social Issues &amp; Professional Issues</t>
  </si>
  <si>
    <t>IT 129</t>
  </si>
  <si>
    <t>Information Assurance &amp; Security 2</t>
  </si>
  <si>
    <t>IT 122</t>
  </si>
  <si>
    <t>Integrative Programming &amp; Technologies 2</t>
  </si>
  <si>
    <t>05:00 PM-07:00 PM</t>
  </si>
  <si>
    <t>IT 121</t>
  </si>
  <si>
    <t>Information Management 2</t>
  </si>
  <si>
    <t xml:space="preserve">Surname: Casiño                                         Given Name: Kent Russell                                               MI: </t>
  </si>
  <si>
    <t>03:00 PM-07:00 PM</t>
  </si>
  <si>
    <t>IT 110</t>
  </si>
  <si>
    <t>Object Oriented Programming (OOP)</t>
  </si>
  <si>
    <t>Data Structures &amp; Algorithms</t>
  </si>
  <si>
    <t>IT 108</t>
  </si>
  <si>
    <t>Integrated Application Software</t>
  </si>
  <si>
    <t>IT 103</t>
  </si>
  <si>
    <t>Computer Programming 1</t>
  </si>
  <si>
    <t>IT 102</t>
  </si>
  <si>
    <t>7:00 AM-09:00 AM</t>
  </si>
  <si>
    <t>04:00 PM-06:00 PM</t>
  </si>
  <si>
    <t>Introduction To Computing</t>
  </si>
  <si>
    <t>IT 101</t>
  </si>
  <si>
    <t>10:00 AM-12:00 PM</t>
  </si>
  <si>
    <t>9:00 AM-11:00 AM</t>
  </si>
  <si>
    <t>02:00 PM-05:00 PM</t>
  </si>
  <si>
    <t>Math1</t>
  </si>
  <si>
    <t>College Algebra</t>
  </si>
  <si>
    <t>07:00 AM-08:30 AM</t>
  </si>
  <si>
    <t>10:00 AM-11:30 AM</t>
  </si>
  <si>
    <t>01:00 PM-02:30 PM</t>
  </si>
  <si>
    <t>Plane Trigonometry</t>
  </si>
  <si>
    <t>Math2</t>
  </si>
  <si>
    <t>08:30 AM-10:00 AM</t>
  </si>
  <si>
    <t>BSBA 2C</t>
  </si>
  <si>
    <t>04:00-05:30PM</t>
  </si>
  <si>
    <t>FUNDAMENTALS OF DATABASE SYSTEM</t>
  </si>
  <si>
    <t>BSBA 2G</t>
  </si>
  <si>
    <t>04:00-07:00PM</t>
  </si>
  <si>
    <t>FRI</t>
  </si>
  <si>
    <t>BSBA 2F</t>
  </si>
  <si>
    <t>01:00-04:00PM</t>
  </si>
  <si>
    <t>SAT</t>
  </si>
  <si>
    <t>HM 1C</t>
  </si>
  <si>
    <t>07:00-08:30PM</t>
  </si>
  <si>
    <t>System Administration and Maintenance</t>
  </si>
  <si>
    <t>IT 128</t>
  </si>
  <si>
    <t>02:30-04:00PM</t>
  </si>
  <si>
    <t>BSBA 2E</t>
  </si>
  <si>
    <t>HM 1A</t>
  </si>
  <si>
    <t>10:00-11:30AM</t>
  </si>
  <si>
    <t>BSBA 2D</t>
  </si>
  <si>
    <t>BSBA 2A</t>
  </si>
  <si>
    <t>09:00 AM-12:00PM</t>
  </si>
  <si>
    <t>BSIT 4A</t>
  </si>
  <si>
    <t>BSIT 4B</t>
  </si>
  <si>
    <t>BSIT 4C</t>
  </si>
  <si>
    <t>BSIT 3A</t>
  </si>
  <si>
    <t>BSIT 3B</t>
  </si>
  <si>
    <t>BSIT 3D</t>
  </si>
  <si>
    <t>BSIT 3C</t>
  </si>
  <si>
    <t>BSIT 1C</t>
  </si>
  <si>
    <t>BSIT 2D</t>
  </si>
  <si>
    <t>BSIT 1A</t>
  </si>
  <si>
    <t>BSIT 1D</t>
  </si>
  <si>
    <t>BSIT 1B</t>
  </si>
  <si>
    <t>BSIT 2C</t>
  </si>
  <si>
    <t>BSIT 2B</t>
  </si>
  <si>
    <t>BSIT 2A</t>
  </si>
  <si>
    <t>BSIT 2E</t>
  </si>
  <si>
    <t>Sun</t>
  </si>
  <si>
    <t>BSIT 1E</t>
  </si>
  <si>
    <t>Surname: Ubalde                                        Given Name: Mary Anne                                                   MI: D</t>
  </si>
  <si>
    <t>06:30-08:30PM</t>
  </si>
  <si>
    <t xml:space="preserve"> Computer Application</t>
  </si>
  <si>
    <t>Hon. Atty. Nadya Emano-Elipe</t>
  </si>
  <si>
    <t>Part-time - Faculty</t>
  </si>
  <si>
    <t>Full-time - Faculty</t>
  </si>
  <si>
    <t>BSIT 4D</t>
  </si>
  <si>
    <t>``</t>
  </si>
  <si>
    <t>BSET AT 2C</t>
  </si>
  <si>
    <t>BSET ET 2A</t>
  </si>
  <si>
    <t>BSIT 1F</t>
  </si>
  <si>
    <t>UniFAST Director</t>
  </si>
  <si>
    <t>Surname: Casiño                                         Given Name: Gabriel                                                       MI: E</t>
  </si>
  <si>
    <t>College Dean</t>
  </si>
  <si>
    <t>-</t>
  </si>
  <si>
    <t>IT Administrator</t>
  </si>
  <si>
    <t>IT 120</t>
  </si>
  <si>
    <t>Research1 (Methods of Research in Computing)</t>
  </si>
  <si>
    <t>08:00-05:00PM</t>
  </si>
  <si>
    <t>08:00-11:00AM</t>
  </si>
  <si>
    <t>10 A</t>
  </si>
  <si>
    <t>IT 100</t>
  </si>
  <si>
    <t>Introduction to Computer Concepts and Fundamentals</t>
  </si>
  <si>
    <t>BSCRIM 2B</t>
  </si>
  <si>
    <t>10:00-01:00PM</t>
  </si>
  <si>
    <t>1:00-5:00PM | 8:00-10:00 AM</t>
  </si>
  <si>
    <t xml:space="preserve">8:00-4:00PM </t>
  </si>
  <si>
    <t>SUN</t>
  </si>
  <si>
    <t>11 B</t>
  </si>
  <si>
    <t>BSCRIM 2G</t>
  </si>
  <si>
    <t>BSCRIM 2C</t>
  </si>
  <si>
    <t>BSCRIM 2D</t>
  </si>
  <si>
    <t>10 B</t>
  </si>
  <si>
    <t>04:00 PM-07:00PM</t>
  </si>
  <si>
    <t>BSCRIM 2F</t>
  </si>
  <si>
    <t>8AM-10AM | 1PM-5PM</t>
  </si>
  <si>
    <t>8AM-3PM</t>
  </si>
  <si>
    <t>8AM-4PM</t>
  </si>
  <si>
    <t>8AM-9AM | 1PM-3PM</t>
  </si>
  <si>
    <t>8:00-1PM</t>
  </si>
  <si>
    <t>20B</t>
  </si>
  <si>
    <t>01:00 AM-3:00 PM</t>
  </si>
  <si>
    <t>10:00 AM-01:00 AM</t>
  </si>
  <si>
    <t>10AM-11PM | 1PM-2PM</t>
  </si>
  <si>
    <t>9:00-1PM</t>
  </si>
  <si>
    <t>8:00-10AM | 1PM-2PM</t>
  </si>
  <si>
    <t>8:00-9AM | 1PM-3PM</t>
  </si>
  <si>
    <t>10:00-6PM</t>
  </si>
  <si>
    <t>1:00-6PM</t>
  </si>
  <si>
    <t>04:00 PM-05:30 PM</t>
  </si>
  <si>
    <t xml:space="preserve">Afuljie Caturan, </t>
  </si>
  <si>
    <t xml:space="preserve">Panfilo A. Actub,  Jr. </t>
  </si>
  <si>
    <t xml:space="preserve">Gabriel E Casino, </t>
  </si>
  <si>
    <t xml:space="preserve">Kent Russell N Casino, </t>
  </si>
  <si>
    <t xml:space="preserve">Jefrey Delrosario, </t>
  </si>
  <si>
    <t xml:space="preserve">Ma Geleen O Eduave, </t>
  </si>
  <si>
    <t xml:space="preserve">Arnel S Llemit, </t>
  </si>
  <si>
    <t xml:space="preserve">Aldrin T Molawan, </t>
  </si>
  <si>
    <t xml:space="preserve">Azmie A Oyok, </t>
  </si>
  <si>
    <t xml:space="preserve">Jan James M Pada, </t>
  </si>
  <si>
    <t>Joniel E Padilla,</t>
  </si>
  <si>
    <t xml:space="preserve">Niko A Perez, </t>
  </si>
  <si>
    <t xml:space="preserve">Janu Vincent A Razalo, </t>
  </si>
  <si>
    <t xml:space="preserve">Neptale S Roa, </t>
  </si>
  <si>
    <t xml:space="preserve">Jasmin A Tabada, </t>
  </si>
  <si>
    <t xml:space="preserve">Kay Rejoice C Waga, </t>
  </si>
  <si>
    <t xml:space="preserve">Eldefonso C Lagulay, </t>
  </si>
  <si>
    <t xml:space="preserve">Marlo Romero, </t>
  </si>
  <si>
    <t>Mary Ann Ubalde,</t>
  </si>
  <si>
    <t>1PM-6PM</t>
  </si>
  <si>
    <t>7AM-3PM</t>
  </si>
  <si>
    <t>10AM-12PM</t>
  </si>
  <si>
    <t>07:00 PM-10:00 AM</t>
  </si>
  <si>
    <t>7AM-9AM | 3PM-6PM</t>
  </si>
  <si>
    <t>8AM-11AM</t>
  </si>
  <si>
    <t>8:00-10PM</t>
  </si>
  <si>
    <t>10AM-6PM</t>
  </si>
  <si>
    <t>02:00 PM-04:00 PM</t>
  </si>
  <si>
    <t>BSET AT 2A</t>
  </si>
  <si>
    <t>Computer Programmer</t>
  </si>
  <si>
    <t>Computer Lab / IT Office</t>
  </si>
  <si>
    <t>8:00-11PM</t>
  </si>
  <si>
    <t>8AM-12PM</t>
  </si>
  <si>
    <t>8AM-12PM | 4PM-5PM</t>
  </si>
  <si>
    <t>09:00 PM-11:00 AM</t>
  </si>
  <si>
    <t>7:00-9PM</t>
  </si>
  <si>
    <t>12AM-2PM</t>
  </si>
  <si>
    <t>8AM-1PM | 5PM-7PM</t>
  </si>
  <si>
    <t>8AM-1PM | 4PM-6PM</t>
  </si>
  <si>
    <t>8AM-11PM | 2PM-6PM</t>
  </si>
  <si>
    <t>1:00-5PM</t>
  </si>
  <si>
    <t>8:00-10AM | 2-5PM</t>
  </si>
  <si>
    <t xml:space="preserve">Surname: Ranara                                        Given Name: Leilani                                                   MI: </t>
  </si>
  <si>
    <t>07:00 AM- 10:00 AM</t>
  </si>
  <si>
    <t>IT 119</t>
  </si>
  <si>
    <t>System Integration &amp; Architecture 1</t>
  </si>
  <si>
    <t>09:00 AM-12:00 PM</t>
  </si>
  <si>
    <t>05:00 PM - 07:00 PM</t>
  </si>
  <si>
    <t>10AM-1PM | 4PM-6PM</t>
  </si>
  <si>
    <t>9AM-6PM</t>
  </si>
  <si>
    <t>8:00-11PM | 1PM-5PM</t>
  </si>
  <si>
    <t>BSCRIM 2E</t>
  </si>
  <si>
    <t>10 C</t>
  </si>
  <si>
    <t>07:00-10:00AM</t>
  </si>
  <si>
    <t>7AM-9AM | 1PM-3PM</t>
  </si>
  <si>
    <t>7AM-9AM | 1PM-4PM</t>
  </si>
  <si>
    <t>7AM-1PM</t>
  </si>
  <si>
    <t>7AM-12PM</t>
  </si>
  <si>
    <t xml:space="preserve">Surname: Catural                                      Given Name: Alfuljie                                                      MI: </t>
  </si>
  <si>
    <t>BSET AT 2B</t>
  </si>
  <si>
    <t>01:00 PM-3:00 PM</t>
  </si>
  <si>
    <t>BSBA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</si>
</sst>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1"/>
      <name val="Calibri"/>
      <family val="2"/>
    </font>
    <font>
      <b/>
      <sz val="12"/>
      <color rgb="FF000066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rgb="FF000066"/>
      <name val="Arial Narrow"/>
      <family val="2"/>
    </font>
    <font>
      <b/>
      <sz val="11"/>
      <color theme="1"/>
      <name val="Calibri"/>
      <family val="2"/>
    </font>
    <font>
      <b/>
      <sz val="8"/>
      <color theme="1"/>
      <name val="Arial Narrow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color theme="1"/>
      <name val="Arial Narrow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ajor"/>
    </font>
    <font>
      <sz val="10"/>
      <color rgb="FF000000"/>
      <name val="Calibri"/>
      <family val="2"/>
      <scheme val="maj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6"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/>
    <xf numFmtId="0" fontId="11" fillId="0" borderId="17" xfId="0" applyFont="1" applyBorder="1"/>
    <xf numFmtId="0" fontId="13" fillId="0" borderId="0" xfId="0" applyFont="1"/>
    <xf numFmtId="0" fontId="19" fillId="0" borderId="0" xfId="0" applyFont="1"/>
    <xf numFmtId="0" fontId="13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7" fillId="0" borderId="0" xfId="0" applyFont="1" applyAlignment="1">
      <alignment vertical="center"/>
    </xf>
    <xf numFmtId="0" fontId="8" fillId="0" borderId="3" xfId="0" applyFont="1" applyBorder="1"/>
    <xf numFmtId="0" fontId="8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17" xfId="0" applyFont="1" applyBorder="1"/>
    <xf numFmtId="0" fontId="11" fillId="0" borderId="18" xfId="0" applyFont="1" applyBorder="1"/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13" fillId="0" borderId="47" xfId="0" applyFont="1" applyBorder="1" applyAlignment="1">
      <alignment horizontal="center"/>
    </xf>
    <xf numFmtId="0" fontId="0" fillId="0" borderId="61" xfId="0" applyFont="1" applyBorder="1" applyAlignment="1"/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64" xfId="0" applyFont="1" applyBorder="1" applyAlignment="1">
      <alignment horizontal="center" wrapText="1"/>
    </xf>
    <xf numFmtId="0" fontId="13" fillId="0" borderId="65" xfId="0" applyFont="1" applyBorder="1" applyAlignment="1">
      <alignment horizontal="center" wrapText="1"/>
    </xf>
    <xf numFmtId="0" fontId="13" fillId="0" borderId="56" xfId="0" applyFont="1" applyBorder="1" applyAlignment="1">
      <alignment horizontal="center" wrapText="1"/>
    </xf>
    <xf numFmtId="0" fontId="13" fillId="0" borderId="57" xfId="0" applyFont="1" applyBorder="1" applyAlignment="1">
      <alignment horizontal="center" wrapText="1"/>
    </xf>
    <xf numFmtId="0" fontId="0" fillId="0" borderId="0" xfId="0" applyFont="1" applyAlignment="1"/>
    <xf numFmtId="0" fontId="2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1" fillId="0" borderId="17" xfId="0" applyFont="1" applyBorder="1"/>
    <xf numFmtId="0" fontId="11" fillId="0" borderId="18" xfId="0" applyFont="1" applyBorder="1"/>
    <xf numFmtId="0" fontId="13" fillId="0" borderId="0" xfId="0" applyFont="1" applyAlignment="1">
      <alignment horizontal="center" vertical="center"/>
    </xf>
    <xf numFmtId="0" fontId="0" fillId="0" borderId="0" xfId="0" applyFont="1" applyAlignment="1"/>
    <xf numFmtId="0" fontId="11" fillId="0" borderId="17" xfId="0" applyFont="1" applyBorder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/>
    </xf>
    <xf numFmtId="0" fontId="27" fillId="0" borderId="56" xfId="0" applyFont="1" applyFill="1" applyBorder="1" applyAlignment="1">
      <alignment horizontal="center" vertical="center"/>
    </xf>
    <xf numFmtId="0" fontId="26" fillId="0" borderId="56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wrapText="1"/>
    </xf>
    <xf numFmtId="0" fontId="13" fillId="0" borderId="65" xfId="0" applyFont="1" applyFill="1" applyBorder="1" applyAlignment="1">
      <alignment horizontal="center" wrapText="1"/>
    </xf>
    <xf numFmtId="0" fontId="13" fillId="0" borderId="56" xfId="0" applyFont="1" applyFill="1" applyBorder="1" applyAlignment="1">
      <alignment horizontal="center" wrapText="1"/>
    </xf>
    <xf numFmtId="0" fontId="13" fillId="0" borderId="57" xfId="0" applyFont="1" applyFill="1" applyBorder="1" applyAlignment="1">
      <alignment horizontal="center" wrapText="1"/>
    </xf>
    <xf numFmtId="0" fontId="13" fillId="0" borderId="64" xfId="0" applyFont="1" applyBorder="1" applyAlignment="1">
      <alignment horizontal="center"/>
    </xf>
    <xf numFmtId="0" fontId="13" fillId="0" borderId="65" xfId="0" applyFont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13" fillId="0" borderId="5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30" fillId="0" borderId="37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37" xfId="0" applyFont="1" applyBorder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/>
    <xf numFmtId="0" fontId="13" fillId="0" borderId="37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Font="1" applyAlignment="1"/>
    <xf numFmtId="0" fontId="0" fillId="0" borderId="44" xfId="0" applyBorder="1"/>
    <xf numFmtId="0" fontId="0" fillId="0" borderId="55" xfId="0" applyBorder="1"/>
    <xf numFmtId="0" fontId="13" fillId="0" borderId="58" xfId="0" applyFont="1" applyBorder="1" applyAlignment="1">
      <alignment horizontal="center"/>
    </xf>
    <xf numFmtId="0" fontId="13" fillId="0" borderId="84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Font="1" applyAlignment="1"/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0" borderId="54" xfId="0" applyFont="1" applyBorder="1"/>
    <xf numFmtId="0" fontId="25" fillId="0" borderId="56" xfId="0" applyFont="1" applyFill="1" applyBorder="1" applyAlignment="1">
      <alignment horizontal="center" vertical="center"/>
    </xf>
    <xf numFmtId="0" fontId="25" fillId="0" borderId="57" xfId="0" applyFont="1" applyFill="1" applyBorder="1" applyAlignment="1">
      <alignment horizontal="center" vertical="center"/>
    </xf>
    <xf numFmtId="0" fontId="25" fillId="0" borderId="55" xfId="0" applyFont="1" applyFill="1" applyBorder="1" applyAlignment="1">
      <alignment horizontal="center" vertical="center"/>
    </xf>
    <xf numFmtId="0" fontId="28" fillId="0" borderId="56" xfId="0" applyFont="1" applyFill="1" applyBorder="1" applyAlignment="1">
      <alignment horizontal="center" vertical="center"/>
    </xf>
    <xf numFmtId="0" fontId="11" fillId="0" borderId="54" xfId="0" applyFont="1" applyBorder="1" applyAlignment="1">
      <alignment wrapText="1"/>
    </xf>
    <xf numFmtId="0" fontId="25" fillId="0" borderId="5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2" fillId="0" borderId="37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33" fillId="0" borderId="37" xfId="0" applyFont="1" applyFill="1" applyBorder="1" applyAlignment="1">
      <alignment horizontal="center" vertical="center"/>
    </xf>
    <xf numFmtId="18" fontId="33" fillId="0" borderId="37" xfId="0" applyNumberFormat="1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 wrapText="1"/>
    </xf>
    <xf numFmtId="0" fontId="32" fillId="0" borderId="56" xfId="0" applyFont="1" applyFill="1" applyBorder="1" applyAlignment="1">
      <alignment horizontal="center" vertical="center" wrapText="1"/>
    </xf>
    <xf numFmtId="0" fontId="32" fillId="0" borderId="37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33" fillId="4" borderId="37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13" fillId="0" borderId="66" xfId="0" applyFont="1" applyBorder="1" applyAlignment="1">
      <alignment horizontal="center"/>
    </xf>
    <xf numFmtId="0" fontId="13" fillId="0" borderId="69" xfId="0" applyFont="1" applyBorder="1" applyAlignment="1">
      <alignment horizontal="center"/>
    </xf>
    <xf numFmtId="0" fontId="0" fillId="0" borderId="56" xfId="0" applyFont="1" applyFill="1" applyBorder="1" applyAlignment="1">
      <alignment horizontal="center" vertical="center"/>
    </xf>
    <xf numFmtId="0" fontId="33" fillId="0" borderId="56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33" fillId="0" borderId="49" xfId="0" applyFont="1" applyFill="1" applyBorder="1" applyAlignment="1">
      <alignment horizontal="center" vertical="center"/>
    </xf>
    <xf numFmtId="0" fontId="13" fillId="0" borderId="87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32" fillId="0" borderId="44" xfId="0" applyFont="1" applyFill="1" applyBorder="1" applyAlignment="1">
      <alignment horizontal="center" vertical="center"/>
    </xf>
    <xf numFmtId="0" fontId="32" fillId="0" borderId="45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8" fillId="0" borderId="0" xfId="0" applyFont="1" applyBorder="1"/>
    <xf numFmtId="0" fontId="13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/>
    <xf numFmtId="0" fontId="20" fillId="0" borderId="0" xfId="0" applyFont="1" applyBorder="1"/>
    <xf numFmtId="0" fontId="8" fillId="0" borderId="0" xfId="0" applyFont="1" applyBorder="1" applyAlignment="1">
      <alignment vertical="center"/>
    </xf>
    <xf numFmtId="0" fontId="8" fillId="0" borderId="9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0" xfId="0" applyFont="1" applyBorder="1"/>
    <xf numFmtId="0" fontId="19" fillId="0" borderId="0" xfId="0" applyFont="1" applyBorder="1" applyAlignment="1">
      <alignment vertical="center"/>
    </xf>
    <xf numFmtId="0" fontId="19" fillId="0" borderId="0" xfId="0" applyFont="1" applyBorder="1"/>
    <xf numFmtId="0" fontId="0" fillId="0" borderId="0" xfId="0" applyFont="1" applyBorder="1" applyAlignment="1"/>
    <xf numFmtId="0" fontId="0" fillId="0" borderId="66" xfId="0" applyFont="1" applyBorder="1" applyAlignment="1"/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13" fillId="0" borderId="61" xfId="0" applyFont="1" applyBorder="1"/>
    <xf numFmtId="0" fontId="19" fillId="0" borderId="61" xfId="0" applyFont="1" applyBorder="1" applyAlignment="1">
      <alignment vertical="center"/>
    </xf>
    <xf numFmtId="0" fontId="19" fillId="0" borderId="61" xfId="0" applyFont="1" applyBorder="1"/>
    <xf numFmtId="0" fontId="14" fillId="0" borderId="90" xfId="0" applyFont="1" applyBorder="1" applyAlignment="1">
      <alignment vertical="center"/>
    </xf>
    <xf numFmtId="0" fontId="8" fillId="0" borderId="0" xfId="0" applyFont="1" applyBorder="1" applyAlignment="1">
      <alignment vertical="top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/>
    </xf>
    <xf numFmtId="0" fontId="21" fillId="0" borderId="91" xfId="0" applyFont="1" applyBorder="1" applyAlignment="1">
      <alignment horizontal="center"/>
    </xf>
    <xf numFmtId="0" fontId="13" fillId="0" borderId="66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0" fillId="4" borderId="56" xfId="0" applyFont="1" applyFill="1" applyBorder="1" applyAlignment="1">
      <alignment horizontal="center" vertical="center"/>
    </xf>
    <xf numFmtId="0" fontId="33" fillId="4" borderId="56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center" vertical="center"/>
    </xf>
    <xf numFmtId="0" fontId="0" fillId="0" borderId="90" xfId="0" applyFont="1" applyBorder="1" applyAlignment="1"/>
    <xf numFmtId="0" fontId="8" fillId="0" borderId="0" xfId="0" applyFont="1" applyBorder="1" applyAlignment="1">
      <alignment horizontal="center"/>
    </xf>
    <xf numFmtId="0" fontId="13" fillId="0" borderId="73" xfId="0" applyFont="1" applyBorder="1" applyAlignment="1">
      <alignment horizontal="center"/>
    </xf>
    <xf numFmtId="0" fontId="17" fillId="0" borderId="0" xfId="0" applyFont="1" applyBorder="1"/>
    <xf numFmtId="0" fontId="0" fillId="0" borderId="91" xfId="0" applyFont="1" applyBorder="1" applyAlignment="1"/>
    <xf numFmtId="0" fontId="13" fillId="0" borderId="96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0" fillId="0" borderId="68" xfId="0" applyFont="1" applyBorder="1" applyAlignment="1"/>
    <xf numFmtId="0" fontId="13" fillId="0" borderId="66" xfId="0" applyFont="1" applyBorder="1"/>
    <xf numFmtId="0" fontId="19" fillId="0" borderId="66" xfId="0" applyFont="1" applyBorder="1"/>
    <xf numFmtId="0" fontId="15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1" fillId="0" borderId="17" xfId="0" applyFont="1" applyBorder="1" applyAlignment="1">
      <alignment horizontal="center" wrapText="1"/>
    </xf>
    <xf numFmtId="0" fontId="8" fillId="0" borderId="0" xfId="0" applyFont="1" applyAlignment="1">
      <alignment vertical="top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19" fillId="0" borderId="61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19" fillId="0" borderId="66" xfId="0" applyFont="1" applyBorder="1" applyAlignment="1">
      <alignment wrapText="1"/>
    </xf>
    <xf numFmtId="0" fontId="30" fillId="0" borderId="37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wrapText="1"/>
    </xf>
    <xf numFmtId="0" fontId="13" fillId="0" borderId="45" xfId="0" applyFont="1" applyBorder="1" applyAlignment="1">
      <alignment horizontal="center" wrapText="1"/>
    </xf>
    <xf numFmtId="0" fontId="33" fillId="4" borderId="49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horizontal="center"/>
    </xf>
    <xf numFmtId="0" fontId="0" fillId="0" borderId="0" xfId="0" applyFont="1" applyBorder="1" applyAlignment="1"/>
    <xf numFmtId="0" fontId="11" fillId="0" borderId="56" xfId="0" applyFont="1" applyBorder="1" applyAlignment="1">
      <alignment wrapText="1"/>
    </xf>
    <xf numFmtId="0" fontId="13" fillId="0" borderId="64" xfId="0" applyFont="1" applyBorder="1" applyAlignment="1">
      <alignment horizontal="center" vertical="center"/>
    </xf>
    <xf numFmtId="0" fontId="11" fillId="0" borderId="56" xfId="0" applyFont="1" applyBorder="1"/>
    <xf numFmtId="0" fontId="13" fillId="0" borderId="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2" borderId="37" xfId="0" applyFont="1" applyFill="1" applyBorder="1" applyAlignment="1">
      <alignment horizontal="center" vertical="center"/>
    </xf>
    <xf numFmtId="0" fontId="33" fillId="2" borderId="37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0" fillId="2" borderId="56" xfId="0" applyFont="1" applyFill="1" applyBorder="1" applyAlignment="1">
      <alignment horizontal="center" vertical="center"/>
    </xf>
    <xf numFmtId="0" fontId="33" fillId="2" borderId="56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0" fillId="2" borderId="49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20" fontId="33" fillId="0" borderId="37" xfId="0" applyNumberFormat="1" applyFont="1" applyFill="1" applyBorder="1" applyAlignment="1">
      <alignment horizontal="center" vertical="center"/>
    </xf>
    <xf numFmtId="0" fontId="33" fillId="5" borderId="37" xfId="0" applyFont="1" applyFill="1" applyBorder="1" applyAlignment="1">
      <alignment horizontal="center" vertical="center"/>
    </xf>
    <xf numFmtId="0" fontId="0" fillId="5" borderId="37" xfId="0" applyFont="1" applyFill="1" applyBorder="1" applyAlignment="1">
      <alignment horizontal="center" vertical="center"/>
    </xf>
    <xf numFmtId="0" fontId="0" fillId="5" borderId="56" xfId="0" applyFont="1" applyFill="1" applyBorder="1" applyAlignment="1">
      <alignment horizontal="center" vertical="center"/>
    </xf>
    <xf numFmtId="0" fontId="30" fillId="0" borderId="56" xfId="0" applyFont="1" applyFill="1" applyBorder="1" applyAlignment="1">
      <alignment horizontal="center" vertical="center"/>
    </xf>
    <xf numFmtId="0" fontId="33" fillId="5" borderId="56" xfId="0" applyFont="1" applyFill="1" applyBorder="1" applyAlignment="1">
      <alignment horizontal="center" vertical="center"/>
    </xf>
    <xf numFmtId="0" fontId="0" fillId="5" borderId="49" xfId="0" applyFont="1" applyFill="1" applyBorder="1" applyAlignment="1">
      <alignment horizontal="center" vertical="center"/>
    </xf>
    <xf numFmtId="0" fontId="33" fillId="5" borderId="49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29" fillId="0" borderId="37" xfId="0" applyFont="1" applyBorder="1"/>
    <xf numFmtId="0" fontId="29" fillId="0" borderId="56" xfId="0" applyFont="1" applyBorder="1"/>
    <xf numFmtId="0" fontId="0" fillId="0" borderId="37" xfId="0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0" fillId="0" borderId="49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5" xfId="0" applyBorder="1" applyAlignment="1">
      <alignment horizontal="center" wrapText="1"/>
    </xf>
    <xf numFmtId="0" fontId="0" fillId="0" borderId="0" xfId="0" applyFont="1" applyAlignment="1"/>
    <xf numFmtId="0" fontId="0" fillId="0" borderId="0" xfId="0" applyFont="1" applyBorder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2" fillId="4" borderId="37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25" fillId="0" borderId="56" xfId="0" applyFont="1" applyFill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/>
    </xf>
    <xf numFmtId="0" fontId="0" fillId="0" borderId="0" xfId="0" applyFont="1" applyAlignment="1"/>
    <xf numFmtId="0" fontId="13" fillId="0" borderId="37" xfId="0" applyFont="1" applyFill="1" applyBorder="1" applyAlignment="1">
      <alignment horizontal="center" wrapText="1"/>
    </xf>
    <xf numFmtId="0" fontId="13" fillId="0" borderId="45" xfId="0" applyFont="1" applyFill="1" applyBorder="1" applyAlignment="1">
      <alignment horizontal="center" wrapText="1"/>
    </xf>
    <xf numFmtId="0" fontId="4" fillId="0" borderId="56" xfId="0" applyFont="1" applyFill="1" applyBorder="1" applyAlignment="1">
      <alignment horizontal="center" vertical="center"/>
    </xf>
    <xf numFmtId="0" fontId="0" fillId="0" borderId="0" xfId="0" applyFont="1" applyAlignment="1"/>
    <xf numFmtId="0" fontId="32" fillId="5" borderId="37" xfId="0" applyFont="1" applyFill="1" applyBorder="1" applyAlignment="1">
      <alignment horizontal="center" vertical="center"/>
    </xf>
    <xf numFmtId="0" fontId="32" fillId="5" borderId="49" xfId="0" applyFont="1" applyFill="1" applyBorder="1" applyAlignment="1">
      <alignment horizontal="center" vertical="center"/>
    </xf>
    <xf numFmtId="0" fontId="34" fillId="0" borderId="37" xfId="0" applyFont="1" applyFill="1" applyBorder="1" applyAlignment="1">
      <alignment horizontal="center" vertical="center"/>
    </xf>
    <xf numFmtId="0" fontId="0" fillId="0" borderId="105" xfId="0" applyFont="1" applyBorder="1" applyAlignment="1">
      <alignment horizontal="center"/>
    </xf>
    <xf numFmtId="0" fontId="0" fillId="0" borderId="102" xfId="0" applyFont="1" applyBorder="1" applyAlignment="1">
      <alignment horizontal="center"/>
    </xf>
    <xf numFmtId="0" fontId="0" fillId="0" borderId="0" xfId="0" applyFont="1" applyAlignment="1"/>
    <xf numFmtId="0" fontId="13" fillId="0" borderId="0" xfId="0" applyFont="1" applyAlignment="1">
      <alignment horizontal="center" vertical="center"/>
    </xf>
    <xf numFmtId="0" fontId="0" fillId="0" borderId="0" xfId="0" applyFont="1" applyBorder="1" applyAlignment="1"/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2" fillId="0" borderId="3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2" fillId="5" borderId="37" xfId="0" applyFont="1" applyFill="1" applyBorder="1" applyAlignment="1">
      <alignment horizontal="center" vertical="center"/>
    </xf>
    <xf numFmtId="0" fontId="32" fillId="5" borderId="56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center" vertical="center"/>
    </xf>
    <xf numFmtId="0" fontId="32" fillId="0" borderId="50" xfId="0" applyFont="1" applyFill="1" applyBorder="1" applyAlignment="1">
      <alignment horizontal="center" vertical="center"/>
    </xf>
    <xf numFmtId="0" fontId="32" fillId="0" borderId="48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wrapText="1"/>
    </xf>
    <xf numFmtId="0" fontId="13" fillId="0" borderId="107" xfId="0" applyFont="1" applyBorder="1" applyAlignment="1">
      <alignment horizontal="center" vertical="center"/>
    </xf>
    <xf numFmtId="0" fontId="13" fillId="0" borderId="109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32" fillId="0" borderId="37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Border="1" applyAlignment="1"/>
    <xf numFmtId="0" fontId="32" fillId="0" borderId="56" xfId="0" applyFont="1" applyFill="1" applyBorder="1" applyAlignment="1">
      <alignment horizontal="center" vertical="center"/>
    </xf>
    <xf numFmtId="0" fontId="32" fillId="0" borderId="57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4" fillId="0" borderId="56" xfId="0" applyFont="1" applyFill="1" applyBorder="1" applyAlignment="1">
      <alignment horizontal="center" vertical="center"/>
    </xf>
    <xf numFmtId="0" fontId="32" fillId="6" borderId="48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 vertical="center"/>
    </xf>
    <xf numFmtId="0" fontId="33" fillId="6" borderId="49" xfId="0" applyFont="1" applyFill="1" applyBorder="1" applyAlignment="1">
      <alignment horizontal="center" vertical="center"/>
    </xf>
    <xf numFmtId="0" fontId="32" fillId="6" borderId="49" xfId="0" applyFont="1" applyFill="1" applyBorder="1" applyAlignment="1">
      <alignment horizontal="center" vertical="center"/>
    </xf>
    <xf numFmtId="0" fontId="34" fillId="6" borderId="49" xfId="0" applyFont="1" applyFill="1" applyBorder="1" applyAlignment="1">
      <alignment horizontal="center" vertical="center"/>
    </xf>
    <xf numFmtId="0" fontId="32" fillId="6" borderId="5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Font="1" applyAlignment="1"/>
    <xf numFmtId="0" fontId="32" fillId="0" borderId="4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45" xfId="0" applyFont="1" applyFill="1" applyBorder="1" applyAlignment="1">
      <alignment horizontal="center" vertical="center"/>
    </xf>
    <xf numFmtId="0" fontId="32" fillId="0" borderId="44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32" fillId="0" borderId="57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32" fillId="0" borderId="50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32" fillId="0" borderId="48" xfId="0" applyFont="1" applyFill="1" applyBorder="1" applyAlignment="1">
      <alignment horizontal="center" vertical="center"/>
    </xf>
    <xf numFmtId="0" fontId="0" fillId="0" borderId="37" xfId="0" applyFont="1" applyBorder="1" applyAlignment="1">
      <alignment horizontal="center"/>
    </xf>
    <xf numFmtId="0" fontId="32" fillId="0" borderId="37" xfId="0" applyFont="1" applyFill="1" applyBorder="1" applyAlignment="1">
      <alignment horizontal="center" vertical="center"/>
    </xf>
    <xf numFmtId="0" fontId="0" fillId="0" borderId="0" xfId="0" applyFont="1" applyAlignment="1"/>
    <xf numFmtId="0" fontId="32" fillId="0" borderId="56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center" vertical="center"/>
    </xf>
    <xf numFmtId="0" fontId="27" fillId="0" borderId="56" xfId="0" quotePrefix="1" applyFont="1" applyBorder="1" applyAlignment="1">
      <alignment horizontal="center" vertical="center" wrapText="1"/>
    </xf>
    <xf numFmtId="0" fontId="32" fillId="0" borderId="48" xfId="0" applyFont="1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center" vertical="center" wrapText="1"/>
    </xf>
    <xf numFmtId="0" fontId="33" fillId="0" borderId="49" xfId="0" applyFont="1" applyFill="1" applyBorder="1" applyAlignment="1">
      <alignment horizontal="center" vertical="center" wrapText="1"/>
    </xf>
    <xf numFmtId="0" fontId="32" fillId="0" borderId="49" xfId="0" applyFont="1" applyFill="1" applyBorder="1" applyAlignment="1">
      <alignment horizontal="center" vertical="center" wrapText="1"/>
    </xf>
    <xf numFmtId="0" fontId="32" fillId="0" borderId="50" xfId="0" applyFont="1" applyFill="1" applyBorder="1" applyAlignment="1">
      <alignment horizontal="center" vertical="center" wrapText="1"/>
    </xf>
    <xf numFmtId="0" fontId="32" fillId="0" borderId="44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 wrapText="1"/>
    </xf>
    <xf numFmtId="18" fontId="33" fillId="0" borderId="37" xfId="0" applyNumberFormat="1" applyFont="1" applyFill="1" applyBorder="1" applyAlignment="1">
      <alignment horizontal="center" vertical="center" wrapText="1"/>
    </xf>
    <xf numFmtId="0" fontId="32" fillId="0" borderId="45" xfId="0" applyFont="1" applyFill="1" applyBorder="1" applyAlignment="1">
      <alignment horizontal="center" vertical="center" wrapText="1"/>
    </xf>
    <xf numFmtId="0" fontId="33" fillId="0" borderId="37" xfId="0" applyFont="1" applyFill="1" applyBorder="1" applyAlignment="1">
      <alignment horizontal="center" vertical="center" wrapText="1"/>
    </xf>
    <xf numFmtId="0" fontId="32" fillId="0" borderId="55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>
      <alignment horizontal="center" vertical="center" wrapText="1"/>
    </xf>
    <xf numFmtId="18" fontId="33" fillId="0" borderId="56" xfId="0" applyNumberFormat="1" applyFont="1" applyFill="1" applyBorder="1" applyAlignment="1">
      <alignment horizontal="center" vertical="center" wrapText="1"/>
    </xf>
    <xf numFmtId="0" fontId="32" fillId="0" borderId="57" xfId="0" applyFont="1" applyFill="1" applyBorder="1" applyAlignment="1">
      <alignment horizontal="center" vertical="center" wrapText="1"/>
    </xf>
    <xf numFmtId="0" fontId="0" fillId="0" borderId="57" xfId="0" applyFont="1" applyBorder="1" applyAlignment="1">
      <alignment horizontal="center"/>
    </xf>
    <xf numFmtId="0" fontId="27" fillId="0" borderId="49" xfId="0" quotePrefix="1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18" fontId="0" fillId="0" borderId="37" xfId="0" quotePrefix="1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8" fontId="0" fillId="0" borderId="56" xfId="0" quotePrefix="1" applyNumberForma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/>
    </xf>
    <xf numFmtId="18" fontId="0" fillId="0" borderId="56" xfId="0" quotePrefix="1" applyNumberForma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39" fillId="0" borderId="37" xfId="0" applyFont="1" applyBorder="1" applyAlignment="1"/>
    <xf numFmtId="0" fontId="39" fillId="0" borderId="0" xfId="0" applyFont="1" applyAlignment="1"/>
    <xf numFmtId="0" fontId="39" fillId="0" borderId="49" xfId="0" applyFont="1" applyFill="1" applyBorder="1" applyAlignment="1"/>
    <xf numFmtId="0" fontId="0" fillId="0" borderId="0" xfId="0" applyFont="1" applyAlignment="1"/>
    <xf numFmtId="0" fontId="32" fillId="0" borderId="55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32" fillId="0" borderId="5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0" xfId="0" applyFont="1" applyAlignment="1"/>
    <xf numFmtId="0" fontId="13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Border="1" applyAlignment="1"/>
    <xf numFmtId="0" fontId="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2" fillId="0" borderId="37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13" fillId="0" borderId="96" xfId="0" applyFont="1" applyBorder="1" applyAlignment="1">
      <alignment horizontal="center" vertical="center"/>
    </xf>
    <xf numFmtId="0" fontId="25" fillId="0" borderId="56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34" fillId="0" borderId="49" xfId="0" applyFont="1" applyFill="1" applyBorder="1" applyAlignment="1">
      <alignment horizontal="center" vertical="center"/>
    </xf>
    <xf numFmtId="0" fontId="0" fillId="0" borderId="0" xfId="0" applyFont="1" applyAlignment="1"/>
    <xf numFmtId="0" fontId="13" fillId="0" borderId="6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0" xfId="0" applyFont="1" applyBorder="1" applyAlignment="1"/>
    <xf numFmtId="0" fontId="32" fillId="0" borderId="44" xfId="0" applyFont="1" applyFill="1" applyBorder="1" applyAlignment="1">
      <alignment horizontal="center" vertical="center"/>
    </xf>
    <xf numFmtId="0" fontId="32" fillId="0" borderId="55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/>
    </xf>
    <xf numFmtId="0" fontId="32" fillId="0" borderId="45" xfId="0" applyFont="1" applyFill="1" applyBorder="1" applyAlignment="1">
      <alignment horizontal="center" vertical="center"/>
    </xf>
    <xf numFmtId="0" fontId="32" fillId="0" borderId="57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center" vertical="center"/>
    </xf>
    <xf numFmtId="0" fontId="32" fillId="0" borderId="50" xfId="0" applyFont="1" applyFill="1" applyBorder="1" applyAlignment="1">
      <alignment horizontal="center" vertical="center"/>
    </xf>
    <xf numFmtId="0" fontId="32" fillId="0" borderId="48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center" vertical="center" wrapText="1"/>
    </xf>
    <xf numFmtId="0" fontId="34" fillId="0" borderId="37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0" fontId="32" fillId="4" borderId="49" xfId="0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center" vertical="center"/>
    </xf>
    <xf numFmtId="0" fontId="39" fillId="0" borderId="37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3" fillId="0" borderId="0" xfId="0" applyFont="1" applyAlignment="1">
      <alignment horizontal="center" wrapText="1"/>
    </xf>
    <xf numFmtId="0" fontId="13" fillId="0" borderId="23" xfId="0" applyFont="1" applyBorder="1" applyAlignment="1">
      <alignment horizontal="center" vertical="center" wrapText="1"/>
    </xf>
    <xf numFmtId="0" fontId="11" fillId="0" borderId="23" xfId="0" applyFont="1" applyBorder="1"/>
    <xf numFmtId="0" fontId="13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11" fillId="0" borderId="3" xfId="0" applyFont="1" applyBorder="1"/>
    <xf numFmtId="0" fontId="8" fillId="0" borderId="0" xfId="0" applyFont="1" applyBorder="1" applyAlignment="1">
      <alignment horizontal="center"/>
    </xf>
    <xf numFmtId="0" fontId="0" fillId="0" borderId="0" xfId="0" applyFont="1" applyBorder="1" applyAlignment="1"/>
    <xf numFmtId="0" fontId="7" fillId="0" borderId="0" xfId="0" applyFont="1" applyAlignment="1">
      <alignment horizontal="left" vertical="center"/>
    </xf>
    <xf numFmtId="0" fontId="18" fillId="0" borderId="64" xfId="0" applyFont="1" applyBorder="1" applyAlignment="1">
      <alignment horizontal="center" vertical="center" wrapText="1"/>
    </xf>
    <xf numFmtId="0" fontId="11" fillId="0" borderId="56" xfId="0" applyFont="1" applyBorder="1" applyAlignment="1">
      <alignment wrapText="1"/>
    </xf>
    <xf numFmtId="0" fontId="36" fillId="0" borderId="49" xfId="0" applyFont="1" applyFill="1" applyBorder="1" applyAlignment="1">
      <alignment horizontal="left" vertical="center" wrapText="1"/>
    </xf>
    <xf numFmtId="0" fontId="36" fillId="0" borderId="37" xfId="0" applyFont="1" applyFill="1" applyBorder="1" applyAlignment="1">
      <alignment horizontal="left" vertical="center" wrapText="1"/>
    </xf>
    <xf numFmtId="0" fontId="36" fillId="0" borderId="56" xfId="0" applyFont="1" applyFill="1" applyBorder="1" applyAlignment="1">
      <alignment horizontal="left" vertical="center" wrapText="1"/>
    </xf>
    <xf numFmtId="0" fontId="13" fillId="0" borderId="63" xfId="0" applyFont="1" applyBorder="1" applyAlignment="1">
      <alignment horizontal="center" vertical="center" wrapText="1"/>
    </xf>
    <xf numFmtId="0" fontId="11" fillId="0" borderId="55" xfId="0" applyFont="1" applyBorder="1" applyAlignment="1">
      <alignment wrapText="1"/>
    </xf>
    <xf numFmtId="0" fontId="13" fillId="0" borderId="64" xfId="0" applyFont="1" applyBorder="1" applyAlignment="1">
      <alignment horizontal="center" vertical="center" wrapText="1"/>
    </xf>
    <xf numFmtId="0" fontId="11" fillId="0" borderId="64" xfId="0" applyFont="1" applyBorder="1" applyAlignment="1">
      <alignment wrapText="1"/>
    </xf>
    <xf numFmtId="0" fontId="13" fillId="0" borderId="64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1" fillId="0" borderId="21" xfId="0" applyFont="1" applyBorder="1"/>
    <xf numFmtId="0" fontId="8" fillId="0" borderId="76" xfId="0" applyFont="1" applyBorder="1" applyAlignment="1">
      <alignment horizontal="center"/>
    </xf>
    <xf numFmtId="0" fontId="11" fillId="0" borderId="77" xfId="0" applyFont="1" applyBorder="1"/>
    <xf numFmtId="0" fontId="11" fillId="0" borderId="78" xfId="0" applyFont="1" applyBorder="1"/>
    <xf numFmtId="0" fontId="8" fillId="0" borderId="52" xfId="0" applyFont="1" applyBorder="1" applyAlignment="1">
      <alignment horizontal="center" wrapText="1"/>
    </xf>
    <xf numFmtId="0" fontId="11" fillId="0" borderId="66" xfId="0" applyFont="1" applyBorder="1"/>
    <xf numFmtId="0" fontId="11" fillId="0" borderId="53" xfId="0" applyFont="1" applyBorder="1"/>
    <xf numFmtId="0" fontId="8" fillId="0" borderId="79" xfId="0" applyFont="1" applyBorder="1" applyAlignment="1">
      <alignment horizontal="center"/>
    </xf>
    <xf numFmtId="0" fontId="11" fillId="0" borderId="80" xfId="0" applyFont="1" applyBorder="1"/>
    <xf numFmtId="0" fontId="8" fillId="0" borderId="7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/>
    </xf>
    <xf numFmtId="0" fontId="11" fillId="0" borderId="12" xfId="0" applyFont="1" applyBorder="1"/>
    <xf numFmtId="0" fontId="8" fillId="0" borderId="11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11" fillId="0" borderId="73" xfId="0" applyFont="1" applyBorder="1"/>
    <xf numFmtId="0" fontId="8" fillId="0" borderId="74" xfId="0" applyFont="1" applyBorder="1" applyAlignment="1">
      <alignment horizontal="center"/>
    </xf>
    <xf numFmtId="0" fontId="11" fillId="0" borderId="22" xfId="0" applyFont="1" applyBorder="1"/>
    <xf numFmtId="0" fontId="8" fillId="0" borderId="31" xfId="0" applyFont="1" applyBorder="1" applyAlignment="1">
      <alignment horizontal="center"/>
    </xf>
    <xf numFmtId="0" fontId="11" fillId="0" borderId="75" xfId="0" applyFont="1" applyBorder="1"/>
    <xf numFmtId="0" fontId="13" fillId="0" borderId="39" xfId="0" applyFont="1" applyBorder="1" applyAlignment="1">
      <alignment horizontal="center" vertical="center"/>
    </xf>
    <xf numFmtId="0" fontId="11" fillId="0" borderId="62" xfId="0" applyFont="1" applyBorder="1"/>
    <xf numFmtId="0" fontId="11" fillId="0" borderId="11" xfId="0" applyFont="1" applyBorder="1"/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/>
    </xf>
    <xf numFmtId="0" fontId="11" fillId="0" borderId="55" xfId="0" applyFont="1" applyBorder="1"/>
    <xf numFmtId="0" fontId="13" fillId="0" borderId="64" xfId="0" applyFont="1" applyBorder="1" applyAlignment="1">
      <alignment horizontal="center" vertical="center"/>
    </xf>
    <xf numFmtId="0" fontId="11" fillId="0" borderId="64" xfId="0" applyFont="1" applyBorder="1"/>
    <xf numFmtId="0" fontId="11" fillId="0" borderId="56" xfId="0" applyFont="1" applyBorder="1"/>
    <xf numFmtId="0" fontId="8" fillId="0" borderId="55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/>
    </xf>
    <xf numFmtId="0" fontId="11" fillId="0" borderId="61" xfId="0" applyFont="1" applyBorder="1"/>
    <xf numFmtId="0" fontId="11" fillId="0" borderId="40" xfId="0" applyFont="1" applyBorder="1"/>
    <xf numFmtId="0" fontId="11" fillId="0" borderId="72" xfId="0" applyFont="1" applyBorder="1"/>
    <xf numFmtId="0" fontId="14" fillId="0" borderId="3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44" xfId="0" applyFont="1" applyBorder="1"/>
    <xf numFmtId="0" fontId="11" fillId="0" borderId="37" xfId="0" applyFont="1" applyBorder="1"/>
    <xf numFmtId="0" fontId="11" fillId="0" borderId="37" xfId="0" applyFont="1" applyBorder="1" applyAlignment="1">
      <alignment wrapText="1"/>
    </xf>
    <xf numFmtId="0" fontId="32" fillId="4" borderId="58" xfId="0" applyFont="1" applyFill="1" applyBorder="1" applyAlignment="1">
      <alignment horizontal="center" vertical="center"/>
    </xf>
    <xf numFmtId="0" fontId="32" fillId="4" borderId="59" xfId="0" applyFont="1" applyFill="1" applyBorder="1" applyAlignment="1">
      <alignment horizontal="center" vertical="center"/>
    </xf>
    <xf numFmtId="0" fontId="32" fillId="4" borderId="84" xfId="0" applyFont="1" applyFill="1" applyBorder="1" applyAlignment="1">
      <alignment horizontal="center" vertical="center"/>
    </xf>
    <xf numFmtId="0" fontId="32" fillId="4" borderId="114" xfId="0" applyFont="1" applyFill="1" applyBorder="1" applyAlignment="1">
      <alignment horizontal="center" vertical="center"/>
    </xf>
    <xf numFmtId="0" fontId="32" fillId="0" borderId="44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left" vertical="center" wrapText="1"/>
    </xf>
    <xf numFmtId="0" fontId="32" fillId="0" borderId="37" xfId="0" applyFont="1" applyFill="1" applyBorder="1" applyAlignment="1">
      <alignment horizontal="center" vertical="center"/>
    </xf>
    <xf numFmtId="0" fontId="32" fillId="0" borderId="45" xfId="0" applyFont="1" applyFill="1" applyBorder="1" applyAlignment="1">
      <alignment horizontal="center" vertical="center"/>
    </xf>
    <xf numFmtId="0" fontId="32" fillId="4" borderId="85" xfId="0" applyFont="1" applyFill="1" applyBorder="1" applyAlignment="1">
      <alignment horizontal="center" vertical="center"/>
    </xf>
    <xf numFmtId="0" fontId="32" fillId="4" borderId="115" xfId="0" applyFont="1" applyFill="1" applyBorder="1" applyAlignment="1">
      <alignment horizontal="center" vertical="center"/>
    </xf>
    <xf numFmtId="0" fontId="32" fillId="4" borderId="110" xfId="0" applyFont="1" applyFill="1" applyBorder="1" applyAlignment="1">
      <alignment horizontal="left" vertical="center" wrapText="1"/>
    </xf>
    <xf numFmtId="0" fontId="32" fillId="4" borderId="111" xfId="0" applyFont="1" applyFill="1" applyBorder="1" applyAlignment="1">
      <alignment horizontal="left" vertical="center" wrapText="1"/>
    </xf>
    <xf numFmtId="0" fontId="32" fillId="4" borderId="112" xfId="0" applyFont="1" applyFill="1" applyBorder="1" applyAlignment="1">
      <alignment horizontal="left" vertical="center" wrapText="1"/>
    </xf>
    <xf numFmtId="0" fontId="32" fillId="4" borderId="113" xfId="0" applyFont="1" applyFill="1" applyBorder="1" applyAlignment="1">
      <alignment horizontal="left" vertical="center" wrapText="1"/>
    </xf>
    <xf numFmtId="0" fontId="11" fillId="0" borderId="52" xfId="0" applyFont="1" applyBorder="1"/>
    <xf numFmtId="0" fontId="11" fillId="0" borderId="69" xfId="0" applyFont="1" applyBorder="1"/>
    <xf numFmtId="0" fontId="8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1" fillId="0" borderId="10" xfId="0" applyFont="1" applyBorder="1"/>
    <xf numFmtId="0" fontId="13" fillId="0" borderId="5" xfId="0" applyFont="1" applyBorder="1" applyAlignment="1">
      <alignment horizontal="center" vertical="center"/>
    </xf>
    <xf numFmtId="0" fontId="11" fillId="0" borderId="6" xfId="0" applyFont="1" applyBorder="1"/>
    <xf numFmtId="0" fontId="13" fillId="0" borderId="7" xfId="0" applyFont="1" applyBorder="1" applyAlignment="1">
      <alignment horizontal="center" vertical="center"/>
    </xf>
    <xf numFmtId="0" fontId="11" fillId="0" borderId="13" xfId="0" applyFont="1" applyBorder="1"/>
    <xf numFmtId="0" fontId="18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wrapText="1"/>
    </xf>
    <xf numFmtId="0" fontId="8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68" xfId="0" applyFont="1" applyBorder="1"/>
    <xf numFmtId="0" fontId="8" fillId="0" borderId="31" xfId="0" applyFont="1" applyBorder="1" applyAlignment="1">
      <alignment horizontal="center" wrapText="1"/>
    </xf>
    <xf numFmtId="0" fontId="13" fillId="0" borderId="64" xfId="0" applyFont="1" applyFill="1" applyBorder="1" applyAlignment="1">
      <alignment horizontal="center" vertical="center" wrapText="1"/>
    </xf>
    <xf numFmtId="0" fontId="11" fillId="0" borderId="56" xfId="0" applyFont="1" applyFill="1" applyBorder="1" applyAlignment="1">
      <alignment wrapText="1"/>
    </xf>
    <xf numFmtId="0" fontId="8" fillId="0" borderId="79" xfId="0" applyFont="1" applyBorder="1" applyAlignment="1">
      <alignment horizontal="center" wrapText="1"/>
    </xf>
    <xf numFmtId="0" fontId="18" fillId="0" borderId="6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1" fillId="0" borderId="55" xfId="0" applyFont="1" applyFill="1" applyBorder="1" applyAlignment="1">
      <alignment wrapText="1"/>
    </xf>
    <xf numFmtId="0" fontId="11" fillId="0" borderId="64" xfId="0" applyFont="1" applyFill="1" applyBorder="1" applyAlignment="1">
      <alignment wrapText="1"/>
    </xf>
    <xf numFmtId="0" fontId="13" fillId="0" borderId="64" xfId="0" applyFont="1" applyFill="1" applyBorder="1" applyAlignment="1">
      <alignment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32" fillId="0" borderId="56" xfId="0" applyFont="1" applyFill="1" applyBorder="1" applyAlignment="1">
      <alignment horizontal="center" vertical="center"/>
    </xf>
    <xf numFmtId="0" fontId="32" fillId="0" borderId="57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center" vertical="center"/>
    </xf>
    <xf numFmtId="0" fontId="32" fillId="4" borderId="44" xfId="0" applyFont="1" applyFill="1" applyBorder="1" applyAlignment="1">
      <alignment horizontal="center" vertical="center"/>
    </xf>
    <xf numFmtId="0" fontId="32" fillId="4" borderId="37" xfId="0" applyFont="1" applyFill="1" applyBorder="1" applyAlignment="1">
      <alignment horizontal="left" vertical="center" wrapText="1"/>
    </xf>
    <xf numFmtId="0" fontId="32" fillId="4" borderId="45" xfId="0" applyFont="1" applyFill="1" applyBorder="1" applyAlignment="1">
      <alignment horizontal="center" vertical="center"/>
    </xf>
    <xf numFmtId="0" fontId="29" fillId="0" borderId="37" xfId="0" applyFont="1" applyBorder="1" applyAlignment="1">
      <alignment horizontal="left" vertical="center" wrapText="1"/>
    </xf>
    <xf numFmtId="0" fontId="32" fillId="0" borderId="55" xfId="0" applyFont="1" applyFill="1" applyBorder="1" applyAlignment="1">
      <alignment horizontal="center" vertical="center"/>
    </xf>
    <xf numFmtId="0" fontId="32" fillId="0" borderId="110" xfId="0" applyFont="1" applyFill="1" applyBorder="1" applyAlignment="1">
      <alignment horizontal="left" vertical="center" wrapText="1"/>
    </xf>
    <xf numFmtId="0" fontId="32" fillId="0" borderId="111" xfId="0" applyFont="1" applyFill="1" applyBorder="1" applyAlignment="1">
      <alignment horizontal="left" vertical="center" wrapText="1"/>
    </xf>
    <xf numFmtId="0" fontId="32" fillId="0" borderId="112" xfId="0" applyFont="1" applyFill="1" applyBorder="1" applyAlignment="1">
      <alignment horizontal="left" vertical="center" wrapText="1"/>
    </xf>
    <xf numFmtId="0" fontId="32" fillId="0" borderId="113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1" fillId="0" borderId="64" xfId="0" applyFont="1" applyBorder="1" applyAlignment="1">
      <alignment horizontal="center" wrapText="1"/>
    </xf>
    <xf numFmtId="0" fontId="32" fillId="0" borderId="49" xfId="0" applyFont="1" applyFill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1" fillId="0" borderId="108" xfId="0" applyFont="1" applyBorder="1"/>
    <xf numFmtId="0" fontId="11" fillId="0" borderId="35" xfId="0" applyFont="1" applyBorder="1"/>
    <xf numFmtId="0" fontId="11" fillId="0" borderId="36" xfId="0" applyFont="1" applyBorder="1"/>
    <xf numFmtId="0" fontId="13" fillId="0" borderId="41" xfId="0" applyFont="1" applyBorder="1" applyAlignment="1">
      <alignment horizontal="center" vertical="center"/>
    </xf>
    <xf numFmtId="0" fontId="11" fillId="0" borderId="106" xfId="0" applyFont="1" applyBorder="1"/>
    <xf numFmtId="0" fontId="11" fillId="0" borderId="0" xfId="0" applyFont="1" applyBorder="1"/>
    <xf numFmtId="0" fontId="18" fillId="0" borderId="41" xfId="0" applyFont="1" applyBorder="1" applyAlignment="1">
      <alignment horizontal="center" vertical="center" wrapText="1"/>
    </xf>
    <xf numFmtId="0" fontId="11" fillId="0" borderId="106" xfId="0" applyFont="1" applyBorder="1" applyAlignment="1">
      <alignment wrapText="1"/>
    </xf>
    <xf numFmtId="0" fontId="25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/>
    </xf>
    <xf numFmtId="0" fontId="32" fillId="0" borderId="48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left" vertical="center" wrapText="1"/>
    </xf>
    <xf numFmtId="0" fontId="32" fillId="0" borderId="50" xfId="0" applyFont="1" applyFill="1" applyBorder="1" applyAlignment="1">
      <alignment horizontal="center" vertical="center"/>
    </xf>
    <xf numFmtId="0" fontId="32" fillId="4" borderId="58" xfId="0" applyFont="1" applyFill="1" applyBorder="1" applyAlignment="1">
      <alignment horizontal="center" vertical="center" wrapText="1"/>
    </xf>
    <xf numFmtId="0" fontId="32" fillId="4" borderId="49" xfId="0" applyFont="1" applyFill="1" applyBorder="1" applyAlignment="1">
      <alignment horizontal="center" vertical="center" wrapText="1"/>
    </xf>
    <xf numFmtId="0" fontId="32" fillId="0" borderId="58" xfId="0" applyFont="1" applyFill="1" applyBorder="1" applyAlignment="1">
      <alignment horizontal="center" vertical="center" wrapText="1"/>
    </xf>
    <xf numFmtId="0" fontId="32" fillId="0" borderId="59" xfId="0" applyFont="1" applyFill="1" applyBorder="1" applyAlignment="1">
      <alignment horizontal="center" vertical="center" wrapText="1"/>
    </xf>
    <xf numFmtId="0" fontId="32" fillId="4" borderId="37" xfId="0" applyFont="1" applyFill="1" applyBorder="1" applyAlignment="1">
      <alignment horizontal="left" vertical="center"/>
    </xf>
    <xf numFmtId="0" fontId="34" fillId="4" borderId="37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left" vertical="center"/>
    </xf>
    <xf numFmtId="0" fontId="32" fillId="0" borderId="56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center" vertical="center"/>
    </xf>
    <xf numFmtId="0" fontId="34" fillId="0" borderId="56" xfId="0" applyFont="1" applyFill="1" applyBorder="1" applyAlignment="1">
      <alignment horizontal="center" vertical="center"/>
    </xf>
    <xf numFmtId="0" fontId="11" fillId="0" borderId="51" xfId="0" applyFont="1" applyBorder="1"/>
    <xf numFmtId="0" fontId="11" fillId="0" borderId="54" xfId="0" applyFont="1" applyBorder="1"/>
    <xf numFmtId="0" fontId="13" fillId="0" borderId="41" xfId="0" applyFont="1" applyBorder="1" applyAlignment="1">
      <alignment horizontal="center" vertical="center" wrapText="1"/>
    </xf>
    <xf numFmtId="0" fontId="11" fillId="0" borderId="54" xfId="0" applyFont="1" applyBorder="1" applyAlignment="1">
      <alignment wrapText="1"/>
    </xf>
    <xf numFmtId="0" fontId="8" fillId="0" borderId="24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1" fillId="0" borderId="26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37" xfId="0" applyFont="1" applyFill="1" applyBorder="1" applyAlignment="1">
      <alignment wrapText="1"/>
    </xf>
    <xf numFmtId="0" fontId="11" fillId="0" borderId="44" xfId="0" applyFont="1" applyFill="1" applyBorder="1" applyAlignment="1">
      <alignment wrapText="1"/>
    </xf>
    <xf numFmtId="0" fontId="32" fillId="0" borderId="81" xfId="0" applyFont="1" applyFill="1" applyBorder="1" applyAlignment="1">
      <alignment horizontal="center" vertical="center" wrapText="1"/>
    </xf>
    <xf numFmtId="0" fontId="32" fillId="0" borderId="49" xfId="0" applyFont="1" applyFill="1" applyBorder="1" applyAlignment="1">
      <alignment horizontal="center" vertical="center" wrapText="1"/>
    </xf>
    <xf numFmtId="0" fontId="32" fillId="4" borderId="56" xfId="0" applyFont="1" applyFill="1" applyBorder="1" applyAlignment="1">
      <alignment horizontal="center" vertical="center"/>
    </xf>
    <xf numFmtId="0" fontId="32" fillId="4" borderId="55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left" vertical="center"/>
    </xf>
    <xf numFmtId="0" fontId="32" fillId="4" borderId="59" xfId="0" applyFont="1" applyFill="1" applyBorder="1" applyAlignment="1">
      <alignment horizontal="center" vertical="center" wrapText="1"/>
    </xf>
    <xf numFmtId="0" fontId="32" fillId="4" borderId="57" xfId="0" applyFont="1" applyFill="1" applyBorder="1" applyAlignment="1">
      <alignment horizontal="center" vertical="center"/>
    </xf>
    <xf numFmtId="0" fontId="37" fillId="0" borderId="37" xfId="0" applyFont="1" applyFill="1" applyBorder="1" applyAlignment="1">
      <alignment horizontal="left" vertical="center" wrapText="1"/>
    </xf>
    <xf numFmtId="0" fontId="8" fillId="0" borderId="55" xfId="0" applyFont="1" applyBorder="1" applyAlignment="1">
      <alignment horizontal="center" vertical="center"/>
    </xf>
    <xf numFmtId="0" fontId="32" fillId="5" borderId="44" xfId="0" applyFont="1" applyFill="1" applyBorder="1" applyAlignment="1">
      <alignment horizontal="center" vertical="center"/>
    </xf>
    <xf numFmtId="0" fontId="32" fillId="5" borderId="55" xfId="0" applyFont="1" applyFill="1" applyBorder="1" applyAlignment="1">
      <alignment horizontal="center" vertical="center"/>
    </xf>
    <xf numFmtId="0" fontId="32" fillId="5" borderId="37" xfId="0" applyFont="1" applyFill="1" applyBorder="1" applyAlignment="1">
      <alignment horizontal="left" vertical="center" wrapText="1"/>
    </xf>
    <xf numFmtId="0" fontId="32" fillId="5" borderId="56" xfId="0" applyFont="1" applyFill="1" applyBorder="1" applyAlignment="1">
      <alignment horizontal="left" vertical="center" wrapText="1"/>
    </xf>
    <xf numFmtId="0" fontId="32" fillId="5" borderId="37" xfId="0" applyFont="1" applyFill="1" applyBorder="1" applyAlignment="1">
      <alignment horizontal="center" vertical="center"/>
    </xf>
    <xf numFmtId="0" fontId="32" fillId="5" borderId="56" xfId="0" applyFont="1" applyFill="1" applyBorder="1" applyAlignment="1">
      <alignment horizontal="center" vertical="center"/>
    </xf>
    <xf numFmtId="0" fontId="32" fillId="5" borderId="45" xfId="0" applyFont="1" applyFill="1" applyBorder="1" applyAlignment="1">
      <alignment horizontal="center" vertical="center"/>
    </xf>
    <xf numFmtId="0" fontId="32" fillId="5" borderId="57" xfId="0" applyFont="1" applyFill="1" applyBorder="1" applyAlignment="1">
      <alignment horizontal="center" vertical="center"/>
    </xf>
    <xf numFmtId="0" fontId="11" fillId="0" borderId="44" xfId="0" applyFont="1" applyBorder="1" applyAlignment="1">
      <alignment wrapText="1"/>
    </xf>
    <xf numFmtId="0" fontId="34" fillId="0" borderId="49" xfId="0" applyFont="1" applyFill="1" applyBorder="1" applyAlignment="1">
      <alignment horizontal="left" vertical="center" wrapText="1"/>
    </xf>
    <xf numFmtId="0" fontId="34" fillId="0" borderId="56" xfId="0" applyFont="1" applyFill="1" applyBorder="1" applyAlignment="1">
      <alignment horizontal="left" vertical="center" wrapText="1"/>
    </xf>
    <xf numFmtId="0" fontId="34" fillId="0" borderId="37" xfId="0" applyFont="1" applyFill="1" applyBorder="1" applyAlignment="1">
      <alignment horizontal="left" vertical="center" wrapText="1"/>
    </xf>
    <xf numFmtId="0" fontId="29" fillId="0" borderId="56" xfId="0" applyFont="1" applyBorder="1" applyAlignment="1">
      <alignment horizontal="left" wrapText="1"/>
    </xf>
    <xf numFmtId="0" fontId="8" fillId="0" borderId="76" xfId="0" applyFont="1" applyBorder="1" applyAlignment="1">
      <alignment horizontal="center" vertical="center"/>
    </xf>
    <xf numFmtId="0" fontId="11" fillId="0" borderId="86" xfId="0" applyFont="1" applyBorder="1"/>
    <xf numFmtId="0" fontId="32" fillId="2" borderId="44" xfId="0" applyFont="1" applyFill="1" applyBorder="1" applyAlignment="1">
      <alignment horizontal="center" vertical="center"/>
    </xf>
    <xf numFmtId="0" fontId="32" fillId="2" borderId="5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32" fillId="0" borderId="49" xfId="0" applyFont="1" applyFill="1" applyBorder="1" applyAlignment="1">
      <alignment horizontal="left" vertical="center"/>
    </xf>
    <xf numFmtId="0" fontId="32" fillId="2" borderId="45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left" vertical="center"/>
    </xf>
    <xf numFmtId="0" fontId="32" fillId="2" borderId="56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32" fillId="5" borderId="50" xfId="0" applyFont="1" applyFill="1" applyBorder="1" applyAlignment="1">
      <alignment horizontal="center" vertical="center"/>
    </xf>
    <xf numFmtId="0" fontId="32" fillId="5" borderId="48" xfId="0" applyFont="1" applyFill="1" applyBorder="1" applyAlignment="1">
      <alignment horizontal="center" vertical="center"/>
    </xf>
    <xf numFmtId="0" fontId="8" fillId="0" borderId="75" xfId="0" applyFont="1" applyBorder="1" applyAlignment="1">
      <alignment horizontal="center"/>
    </xf>
    <xf numFmtId="0" fontId="11" fillId="0" borderId="25" xfId="0" applyFont="1" applyBorder="1"/>
    <xf numFmtId="0" fontId="11" fillId="0" borderId="26" xfId="0" applyFont="1" applyBorder="1"/>
    <xf numFmtId="0" fontId="11" fillId="0" borderId="15" xfId="0" applyFont="1" applyBorder="1"/>
    <xf numFmtId="0" fontId="11" fillId="0" borderId="16" xfId="0" applyFont="1" applyBorder="1"/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32" fillId="5" borderId="49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32" fillId="0" borderId="56" xfId="0" applyFont="1" applyFill="1" applyBorder="1" applyAlignment="1">
      <alignment horizontal="left" vertical="center" wrapText="1"/>
    </xf>
    <xf numFmtId="0" fontId="32" fillId="5" borderId="49" xfId="0" applyFont="1" applyFill="1" applyBorder="1" applyAlignment="1">
      <alignment horizontal="left" vertical="center" wrapText="1"/>
    </xf>
    <xf numFmtId="0" fontId="11" fillId="0" borderId="55" xfId="0" applyFont="1" applyBorder="1" applyAlignment="1">
      <alignment horizontal="center" wrapText="1"/>
    </xf>
    <xf numFmtId="0" fontId="32" fillId="2" borderId="50" xfId="0" applyFont="1" applyFill="1" applyBorder="1" applyAlignment="1">
      <alignment horizontal="center" vertical="center"/>
    </xf>
    <xf numFmtId="0" fontId="32" fillId="2" borderId="81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0" fontId="31" fillId="0" borderId="4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/>
    </xf>
    <xf numFmtId="0" fontId="32" fillId="2" borderId="37" xfId="0" applyFont="1" applyFill="1" applyBorder="1" applyAlignment="1">
      <alignment horizontal="left" vertical="center" wrapText="1"/>
    </xf>
    <xf numFmtId="0" fontId="32" fillId="2" borderId="56" xfId="0" applyFont="1" applyFill="1" applyBorder="1" applyAlignment="1">
      <alignment horizontal="left" vertical="center" wrapText="1"/>
    </xf>
    <xf numFmtId="0" fontId="32" fillId="2" borderId="82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/>
    </xf>
    <xf numFmtId="0" fontId="32" fillId="2" borderId="99" xfId="0" applyFont="1" applyFill="1" applyBorder="1" applyAlignment="1">
      <alignment horizontal="left" vertical="center" wrapText="1"/>
    </xf>
    <xf numFmtId="0" fontId="32" fillId="2" borderId="100" xfId="0" applyFont="1" applyFill="1" applyBorder="1" applyAlignment="1">
      <alignment horizontal="left" vertical="center" wrapText="1"/>
    </xf>
    <xf numFmtId="0" fontId="32" fillId="2" borderId="101" xfId="0" applyFont="1" applyFill="1" applyBorder="1" applyAlignment="1">
      <alignment horizontal="left" vertical="center" wrapText="1"/>
    </xf>
    <xf numFmtId="0" fontId="32" fillId="2" borderId="102" xfId="0" applyFont="1" applyFill="1" applyBorder="1" applyAlignment="1">
      <alignment horizontal="left" vertical="center" wrapText="1"/>
    </xf>
    <xf numFmtId="0" fontId="32" fillId="4" borderId="49" xfId="0" applyFont="1" applyFill="1" applyBorder="1" applyAlignment="1">
      <alignment horizontal="center" vertical="center"/>
    </xf>
    <xf numFmtId="0" fontId="32" fillId="4" borderId="56" xfId="0" applyFont="1" applyFill="1" applyBorder="1" applyAlignment="1">
      <alignment horizontal="left" vertical="center" wrapText="1"/>
    </xf>
    <xf numFmtId="0" fontId="32" fillId="4" borderId="50" xfId="0" applyFont="1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32" fillId="3" borderId="44" xfId="0" applyFont="1" applyFill="1" applyBorder="1" applyAlignment="1">
      <alignment horizontal="center" vertical="center"/>
    </xf>
    <xf numFmtId="0" fontId="32" fillId="3" borderId="37" xfId="0" applyFont="1" applyFill="1" applyBorder="1" applyAlignment="1">
      <alignment horizontal="left" vertical="center" wrapText="1"/>
    </xf>
    <xf numFmtId="0" fontId="32" fillId="3" borderId="37" xfId="0" applyFont="1" applyFill="1" applyBorder="1" applyAlignment="1">
      <alignment horizontal="center" vertical="center"/>
    </xf>
    <xf numFmtId="0" fontId="32" fillId="3" borderId="45" xfId="0" applyFont="1" applyFill="1" applyBorder="1" applyAlignment="1">
      <alignment horizontal="center" vertical="center"/>
    </xf>
    <xf numFmtId="0" fontId="34" fillId="0" borderId="49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left" vertical="center"/>
    </xf>
    <xf numFmtId="0" fontId="0" fillId="4" borderId="56" xfId="0" applyFill="1" applyBorder="1" applyAlignment="1">
      <alignment horizontal="center" vertical="center" wrapText="1"/>
    </xf>
    <xf numFmtId="0" fontId="32" fillId="4" borderId="48" xfId="0" applyFont="1" applyFill="1" applyBorder="1" applyAlignment="1">
      <alignment horizontal="center" vertical="center"/>
    </xf>
    <xf numFmtId="0" fontId="32" fillId="4" borderId="49" xfId="0" applyFont="1" applyFill="1" applyBorder="1" applyAlignment="1">
      <alignment horizontal="left" vertical="center" wrapText="1"/>
    </xf>
    <xf numFmtId="0" fontId="11" fillId="0" borderId="85" xfId="0" applyFont="1" applyBorder="1"/>
    <xf numFmtId="0" fontId="11" fillId="0" borderId="58" xfId="0" applyFont="1" applyBorder="1"/>
    <xf numFmtId="0" fontId="11" fillId="0" borderId="58" xfId="0" applyFont="1" applyBorder="1" applyAlignment="1">
      <alignment wrapText="1"/>
    </xf>
    <xf numFmtId="0" fontId="13" fillId="0" borderId="64" xfId="0" applyFont="1" applyBorder="1" applyAlignment="1">
      <alignment vertical="center"/>
    </xf>
    <xf numFmtId="0" fontId="32" fillId="0" borderId="58" xfId="0" applyFont="1" applyFill="1" applyBorder="1" applyAlignment="1">
      <alignment horizontal="center" vertical="center"/>
    </xf>
    <xf numFmtId="0" fontId="32" fillId="0" borderId="59" xfId="0" applyFont="1" applyFill="1" applyBorder="1" applyAlignment="1">
      <alignment horizontal="center" vertical="center"/>
    </xf>
    <xf numFmtId="0" fontId="32" fillId="0" borderId="81" xfId="0" applyFont="1" applyFill="1" applyBorder="1" applyAlignment="1">
      <alignment horizontal="center" vertical="center"/>
    </xf>
    <xf numFmtId="0" fontId="34" fillId="0" borderId="56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33" fillId="4" borderId="56" xfId="0" applyFont="1" applyFill="1" applyBorder="1" applyAlignment="1">
      <alignment horizontal="left" vertical="center" wrapText="1"/>
    </xf>
    <xf numFmtId="0" fontId="8" fillId="0" borderId="68" xfId="0" applyFont="1" applyBorder="1" applyAlignment="1">
      <alignment horizontal="center"/>
    </xf>
    <xf numFmtId="0" fontId="8" fillId="0" borderId="66" xfId="0" applyFont="1" applyBorder="1" applyAlignment="1">
      <alignment horizontal="center"/>
    </xf>
    <xf numFmtId="0" fontId="0" fillId="0" borderId="66" xfId="0" applyFont="1" applyBorder="1" applyAlignment="1"/>
    <xf numFmtId="0" fontId="32" fillId="2" borderId="58" xfId="0" applyFont="1" applyFill="1" applyBorder="1" applyAlignment="1">
      <alignment horizontal="center" vertical="center"/>
    </xf>
    <xf numFmtId="0" fontId="32" fillId="2" borderId="59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left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/>
    </xf>
    <xf numFmtId="0" fontId="11" fillId="0" borderId="50" xfId="0" applyFont="1" applyBorder="1"/>
    <xf numFmtId="0" fontId="8" fillId="0" borderId="44" xfId="0" applyFont="1" applyBorder="1" applyAlignment="1">
      <alignment horizontal="center"/>
    </xf>
    <xf numFmtId="0" fontId="8" fillId="0" borderId="37" xfId="0" applyFont="1" applyBorder="1" applyAlignment="1">
      <alignment horizontal="center" wrapText="1"/>
    </xf>
    <xf numFmtId="0" fontId="8" fillId="0" borderId="37" xfId="0" applyFont="1" applyBorder="1" applyAlignment="1">
      <alignment horizontal="center"/>
    </xf>
    <xf numFmtId="0" fontId="11" fillId="0" borderId="45" xfId="0" applyFont="1" applyBorder="1"/>
    <xf numFmtId="0" fontId="8" fillId="0" borderId="55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11" fillId="0" borderId="49" xfId="0" applyFont="1" applyBorder="1"/>
    <xf numFmtId="0" fontId="8" fillId="0" borderId="56" xfId="0" applyFont="1" applyBorder="1" applyAlignment="1">
      <alignment horizontal="center" wrapText="1"/>
    </xf>
    <xf numFmtId="0" fontId="8" fillId="0" borderId="56" xfId="0" applyFont="1" applyBorder="1" applyAlignment="1">
      <alignment horizontal="center"/>
    </xf>
    <xf numFmtId="0" fontId="11" fillId="0" borderId="57" xfId="0" applyFont="1" applyBorder="1"/>
    <xf numFmtId="0" fontId="8" fillId="0" borderId="49" xfId="0" applyFont="1" applyBorder="1" applyAlignment="1">
      <alignment horizontal="center" wrapText="1"/>
    </xf>
    <xf numFmtId="0" fontId="11" fillId="0" borderId="65" xfId="0" applyFont="1" applyBorder="1"/>
    <xf numFmtId="0" fontId="13" fillId="0" borderId="88" xfId="0" applyFont="1" applyBorder="1" applyAlignment="1">
      <alignment horizontal="center" vertical="center" wrapText="1"/>
    </xf>
    <xf numFmtId="0" fontId="11" fillId="0" borderId="89" xfId="0" applyFont="1" applyBorder="1"/>
    <xf numFmtId="0" fontId="34" fillId="4" borderId="37" xfId="0" applyFont="1" applyFill="1" applyBorder="1" applyAlignment="1">
      <alignment horizontal="left" vertical="center" wrapText="1"/>
    </xf>
    <xf numFmtId="0" fontId="34" fillId="4" borderId="5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56" xfId="0" applyBorder="1"/>
    <xf numFmtId="0" fontId="29" fillId="0" borderId="56" xfId="0" applyFont="1" applyBorder="1" applyAlignment="1">
      <alignment wrapText="1"/>
    </xf>
    <xf numFmtId="0" fontId="29" fillId="0" borderId="49" xfId="0" applyFont="1" applyBorder="1" applyAlignment="1">
      <alignment horizontal="left" vertical="center" wrapText="1"/>
    </xf>
    <xf numFmtId="0" fontId="0" fillId="0" borderId="37" xfId="0" applyBorder="1" applyAlignment="1">
      <alignment horizontal="left"/>
    </xf>
    <xf numFmtId="0" fontId="11" fillId="0" borderId="65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29" fillId="0" borderId="56" xfId="0" applyFont="1" applyBorder="1" applyAlignment="1">
      <alignment horizontal="left" vertical="center" wrapText="1"/>
    </xf>
    <xf numFmtId="0" fontId="38" fillId="0" borderId="44" xfId="0" applyFont="1" applyFill="1" applyBorder="1" applyAlignment="1">
      <alignment horizontal="center" vertical="center" wrapText="1"/>
    </xf>
    <xf numFmtId="0" fontId="25" fillId="0" borderId="56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/>
    </xf>
    <xf numFmtId="0" fontId="8" fillId="0" borderId="33" xfId="0" applyFont="1" applyBorder="1" applyAlignment="1">
      <alignment horizontal="center" wrapText="1"/>
    </xf>
    <xf numFmtId="0" fontId="8" fillId="0" borderId="33" xfId="0" applyFont="1" applyBorder="1" applyAlignment="1">
      <alignment horizontal="center"/>
    </xf>
    <xf numFmtId="0" fontId="11" fillId="0" borderId="34" xfId="0" applyFont="1" applyBorder="1"/>
    <xf numFmtId="0" fontId="11" fillId="0" borderId="28" xfId="0" applyFont="1" applyBorder="1"/>
    <xf numFmtId="0" fontId="11" fillId="0" borderId="30" xfId="0" applyFont="1" applyBorder="1"/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11" fillId="0" borderId="95" xfId="0" applyFont="1" applyBorder="1"/>
    <xf numFmtId="0" fontId="13" fillId="0" borderId="96" xfId="0" applyFont="1" applyBorder="1" applyAlignment="1">
      <alignment horizontal="center" vertical="center"/>
    </xf>
    <xf numFmtId="0" fontId="11" fillId="0" borderId="97" xfId="0" applyFont="1" applyBorder="1"/>
    <xf numFmtId="0" fontId="18" fillId="0" borderId="9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1" fillId="0" borderId="29" xfId="0" applyFont="1" applyBorder="1"/>
    <xf numFmtId="0" fontId="32" fillId="0" borderId="83" xfId="0" applyFont="1" applyFill="1" applyBorder="1" applyAlignment="1">
      <alignment horizontal="center" vertical="center"/>
    </xf>
    <xf numFmtId="0" fontId="11" fillId="0" borderId="54" xfId="0" applyFont="1" applyBorder="1" applyAlignment="1">
      <alignment horizontal="center" wrapText="1"/>
    </xf>
    <xf numFmtId="0" fontId="32" fillId="0" borderId="82" xfId="0" applyFont="1" applyFill="1" applyBorder="1" applyAlignment="1">
      <alignment horizontal="center" vertical="center"/>
    </xf>
    <xf numFmtId="0" fontId="34" fillId="0" borderId="99" xfId="0" applyFont="1" applyFill="1" applyBorder="1" applyAlignment="1">
      <alignment horizontal="left" vertical="center" wrapText="1"/>
    </xf>
    <xf numFmtId="0" fontId="34" fillId="0" borderId="100" xfId="0" applyFont="1" applyFill="1" applyBorder="1" applyAlignment="1">
      <alignment horizontal="left" vertical="center" wrapText="1"/>
    </xf>
    <xf numFmtId="0" fontId="34" fillId="0" borderId="101" xfId="0" applyFont="1" applyFill="1" applyBorder="1" applyAlignment="1">
      <alignment horizontal="left" vertical="center" wrapText="1"/>
    </xf>
    <xf numFmtId="0" fontId="34" fillId="0" borderId="102" xfId="0" applyFont="1" applyFill="1" applyBorder="1" applyAlignment="1">
      <alignment horizontal="left" vertical="center" wrapText="1"/>
    </xf>
    <xf numFmtId="0" fontId="11" fillId="0" borderId="51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1" fillId="0" borderId="32" xfId="0" applyFont="1" applyBorder="1"/>
    <xf numFmtId="0" fontId="34" fillId="6" borderId="49" xfId="0" applyFont="1" applyFill="1" applyBorder="1" applyAlignment="1">
      <alignment horizontal="left" vertical="center" wrapText="1"/>
    </xf>
    <xf numFmtId="0" fontId="11" fillId="0" borderId="5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34" fillId="0" borderId="116" xfId="0" applyFont="1" applyFill="1" applyBorder="1" applyAlignment="1">
      <alignment horizontal="left" vertical="center" wrapText="1"/>
    </xf>
    <xf numFmtId="0" fontId="34" fillId="0" borderId="117" xfId="0" applyFont="1" applyFill="1" applyBorder="1" applyAlignment="1">
      <alignment horizontal="left" vertical="center" wrapText="1"/>
    </xf>
    <xf numFmtId="0" fontId="1" fillId="0" borderId="37" xfId="0" applyFont="1" applyFill="1" applyBorder="1" applyAlignment="1">
      <alignment horizontal="center" vertical="center"/>
    </xf>
    <xf numFmtId="0" fontId="32" fillId="3" borderId="50" xfId="0" applyFont="1" applyFill="1" applyBorder="1" applyAlignment="1">
      <alignment horizontal="center" vertical="center"/>
    </xf>
    <xf numFmtId="0" fontId="34" fillId="0" borderId="49" xfId="0" applyFont="1" applyFill="1" applyBorder="1" applyAlignment="1">
      <alignment horizontal="center" vertical="center" wrapText="1"/>
    </xf>
    <xf numFmtId="20" fontId="33" fillId="0" borderId="56" xfId="0" applyNumberFormat="1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left" vertical="center" wrapText="1"/>
    </xf>
    <xf numFmtId="0" fontId="34" fillId="4" borderId="49" xfId="0" applyFont="1" applyFill="1" applyBorder="1" applyAlignment="1">
      <alignment horizontal="left" vertical="center" wrapText="1"/>
    </xf>
    <xf numFmtId="0" fontId="0" fillId="4" borderId="49" xfId="0" applyFont="1" applyFill="1" applyBorder="1" applyAlignment="1">
      <alignment horizontal="center" vertical="center"/>
    </xf>
    <xf numFmtId="0" fontId="13" fillId="0" borderId="63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11" fillId="0" borderId="64" xfId="0" applyFont="1" applyFill="1" applyBorder="1"/>
    <xf numFmtId="0" fontId="13" fillId="0" borderId="64" xfId="0" applyFont="1" applyFill="1" applyBorder="1" applyAlignment="1">
      <alignment vertical="center"/>
    </xf>
    <xf numFmtId="0" fontId="13" fillId="0" borderId="64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0" fillId="0" borderId="37" xfId="0" applyFill="1" applyBorder="1" applyAlignment="1">
      <alignment horizontal="center" vertical="center" wrapText="1"/>
    </xf>
    <xf numFmtId="0" fontId="35" fillId="0" borderId="37" xfId="0" applyFont="1" applyFill="1" applyBorder="1" applyAlignment="1">
      <alignment horizontal="left" vertical="center" wrapText="1"/>
    </xf>
    <xf numFmtId="0" fontId="30" fillId="0" borderId="37" xfId="0" applyFont="1" applyFill="1" applyBorder="1" applyAlignment="1">
      <alignment horizontal="center" vertical="center" wrapText="1"/>
    </xf>
    <xf numFmtId="0" fontId="11" fillId="0" borderId="55" xfId="0" applyFont="1" applyFill="1" applyBorder="1"/>
    <xf numFmtId="0" fontId="11" fillId="0" borderId="56" xfId="0" applyFont="1" applyFill="1" applyBorder="1"/>
    <xf numFmtId="0" fontId="13" fillId="0" borderId="56" xfId="0" applyFont="1" applyFill="1" applyBorder="1" applyAlignment="1">
      <alignment horizontal="center"/>
    </xf>
    <xf numFmtId="0" fontId="13" fillId="0" borderId="57" xfId="0" applyFont="1" applyFill="1" applyBorder="1" applyAlignment="1">
      <alignment horizontal="center"/>
    </xf>
    <xf numFmtId="18" fontId="33" fillId="0" borderId="56" xfId="0" applyNumberFormat="1" applyFont="1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8" fillId="0" borderId="77" xfId="0" applyFont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8" fillId="0" borderId="77" xfId="0" applyFont="1" applyBorder="1" applyAlignment="1">
      <alignment horizontal="center" wrapText="1"/>
    </xf>
    <xf numFmtId="0" fontId="8" fillId="0" borderId="78" xfId="0" applyFont="1" applyBorder="1" applyAlignment="1">
      <alignment horizontal="center" wrapText="1"/>
    </xf>
    <xf numFmtId="0" fontId="8" fillId="0" borderId="80" xfId="0" applyFont="1" applyBorder="1" applyAlignment="1">
      <alignment horizontal="center"/>
    </xf>
    <xf numFmtId="0" fontId="1" fillId="0" borderId="56" xfId="0" applyFont="1" applyFill="1" applyBorder="1" applyAlignment="1">
      <alignment horizontal="center" vertical="center"/>
    </xf>
    <xf numFmtId="0" fontId="34" fillId="0" borderId="37" xfId="0" applyFont="1" applyFill="1" applyBorder="1" applyAlignment="1">
      <alignment vertical="center" wrapText="1"/>
    </xf>
    <xf numFmtId="0" fontId="0" fillId="0" borderId="5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32" fillId="0" borderId="37" xfId="0" applyFont="1" applyFill="1" applyBorder="1" applyAlignment="1">
      <alignment vertical="center" wrapText="1"/>
    </xf>
    <xf numFmtId="0" fontId="32" fillId="0" borderId="56" xfId="0" applyFont="1" applyFill="1" applyBorder="1" applyAlignment="1">
      <alignment vertical="center" wrapText="1"/>
    </xf>
    <xf numFmtId="0" fontId="0" fillId="0" borderId="56" xfId="0" applyBorder="1" applyAlignment="1">
      <alignment horizontal="center" vertical="center" wrapText="1"/>
    </xf>
    <xf numFmtId="0" fontId="8" fillId="0" borderId="32" xfId="0" applyFont="1" applyBorder="1" applyAlignment="1">
      <alignment horizontal="center"/>
    </xf>
    <xf numFmtId="0" fontId="0" fillId="0" borderId="115" xfId="0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0" fontId="29" fillId="0" borderId="59" xfId="0" applyFont="1" applyBorder="1" applyAlignment="1">
      <alignment horizontal="left" vertical="center" wrapText="1"/>
    </xf>
    <xf numFmtId="18" fontId="33" fillId="0" borderId="49" xfId="0" applyNumberFormat="1" applyFont="1" applyFill="1" applyBorder="1" applyAlignment="1">
      <alignment horizontal="center" vertical="center"/>
    </xf>
    <xf numFmtId="0" fontId="35" fillId="0" borderId="49" xfId="0" applyFont="1" applyBorder="1" applyAlignment="1">
      <alignment vertical="top" wrapText="1"/>
    </xf>
    <xf numFmtId="0" fontId="1" fillId="0" borderId="3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015ED72-BD64-47D8-ABE0-DF2368B3385A}"/>
            </a:ext>
          </a:extLst>
        </xdr:cNvPr>
        <xdr:cNvSpPr txBox="1"/>
      </xdr:nvSpPr>
      <xdr:spPr>
        <a:xfrm>
          <a:off x="904875" y="2009775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EE81DE85-8C44-44BF-AA5F-6B1978F31473}"/>
            </a:ext>
          </a:extLst>
        </xdr:cNvPr>
        <xdr:cNvSpPr txBox="1"/>
      </xdr:nvSpPr>
      <xdr:spPr>
        <a:xfrm>
          <a:off x="6143625" y="182880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655DCF4-DA48-4CB2-AC13-B83718E4D668}"/>
            </a:ext>
          </a:extLst>
        </xdr:cNvPr>
        <xdr:cNvSpPr txBox="1"/>
      </xdr:nvSpPr>
      <xdr:spPr>
        <a:xfrm>
          <a:off x="6143625" y="2047875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C68A25A-647B-4C5A-8102-9E4568E62DA4}"/>
            </a:ext>
          </a:extLst>
        </xdr:cNvPr>
        <xdr:cNvSpPr txBox="1"/>
      </xdr:nvSpPr>
      <xdr:spPr>
        <a:xfrm>
          <a:off x="904875" y="182880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239993</xdr:colOff>
      <xdr:row>9</xdr:row>
      <xdr:rowOff>125132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4EA0B71E-0D58-477E-92DB-F22D8284B007}"/>
            </a:ext>
          </a:extLst>
        </xdr:cNvPr>
        <xdr:cNvSpPr txBox="1"/>
      </xdr:nvSpPr>
      <xdr:spPr>
        <a:xfrm>
          <a:off x="906743" y="1772957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0321BFF0-9690-48C1-85F5-B7DCD4DD66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AC8882C0-63EB-44A0-B254-3A6918EFC36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6775" y="219075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7724BC5-39BB-4544-9963-B98CCEE9750E}"/>
            </a:ext>
          </a:extLst>
        </xdr:cNvPr>
        <xdr:cNvSpPr txBox="1"/>
      </xdr:nvSpPr>
      <xdr:spPr>
        <a:xfrm>
          <a:off x="904875" y="2009775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BB9F76D-7417-4254-8406-C32439F876F2}"/>
            </a:ext>
          </a:extLst>
        </xdr:cNvPr>
        <xdr:cNvSpPr txBox="1"/>
      </xdr:nvSpPr>
      <xdr:spPr>
        <a:xfrm>
          <a:off x="6143625" y="182880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662AD445-35C4-46ED-A39D-8A0E7B26B67F}"/>
            </a:ext>
          </a:extLst>
        </xdr:cNvPr>
        <xdr:cNvSpPr txBox="1"/>
      </xdr:nvSpPr>
      <xdr:spPr>
        <a:xfrm>
          <a:off x="6143625" y="2047875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F27FF4C-DF3B-4EF3-888C-8B82026B5B45}"/>
            </a:ext>
          </a:extLst>
        </xdr:cNvPr>
        <xdr:cNvSpPr txBox="1"/>
      </xdr:nvSpPr>
      <xdr:spPr>
        <a:xfrm>
          <a:off x="904875" y="182880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4DFAB36A-F816-4847-8B0C-47D4CC17C00B}"/>
            </a:ext>
          </a:extLst>
        </xdr:cNvPr>
        <xdr:cNvSpPr txBox="1"/>
      </xdr:nvSpPr>
      <xdr:spPr>
        <a:xfrm>
          <a:off x="6115050" y="174307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19D8BF14-9BDF-4DC3-A12F-A7FF5640A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714DBD31-DB7C-49A0-ADC2-E9412168DB2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6775" y="219075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D0AC1C2-583A-41C4-98C4-ADFB62C48A02}"/>
            </a:ext>
          </a:extLst>
        </xdr:cNvPr>
        <xdr:cNvSpPr txBox="1"/>
      </xdr:nvSpPr>
      <xdr:spPr>
        <a:xfrm>
          <a:off x="904875" y="2009775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B1E84AB8-32F8-4FFF-8810-B3434D51B559}"/>
            </a:ext>
          </a:extLst>
        </xdr:cNvPr>
        <xdr:cNvSpPr txBox="1"/>
      </xdr:nvSpPr>
      <xdr:spPr>
        <a:xfrm>
          <a:off x="6143625" y="182880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C4DD83FA-9FF4-4191-B588-F0E1DE206BA4}"/>
            </a:ext>
          </a:extLst>
        </xdr:cNvPr>
        <xdr:cNvSpPr txBox="1"/>
      </xdr:nvSpPr>
      <xdr:spPr>
        <a:xfrm>
          <a:off x="6143625" y="2047875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1EDCB1E-8A2B-4BC1-B18C-84121B6808C6}"/>
            </a:ext>
          </a:extLst>
        </xdr:cNvPr>
        <xdr:cNvSpPr txBox="1"/>
      </xdr:nvSpPr>
      <xdr:spPr>
        <a:xfrm>
          <a:off x="904875" y="182880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4282C76-6BE0-414E-BEF8-70FC89484C36}"/>
            </a:ext>
          </a:extLst>
        </xdr:cNvPr>
        <xdr:cNvSpPr txBox="1"/>
      </xdr:nvSpPr>
      <xdr:spPr>
        <a:xfrm>
          <a:off x="6115050" y="174307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752775A0-3583-47B0-B55C-CE4BE50C58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38C75CA9-28CC-4A5F-A389-90028AED405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6775" y="219075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7724BC5-39BB-4544-9963-B98CCEE9750E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9BB9F76D-7417-4254-8406-C32439F876F2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662AD445-35C4-46ED-A39D-8A0E7B26B67F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F27FF4C-DF3B-4EF3-888C-8B82026B5B45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4DFAB36A-F816-4847-8B0C-47D4CC17C00B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19D8BF14-9BDF-4DC3-A12F-A7FF5640A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714DBD31-DB7C-49A0-ADC2-E9412168DB2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155156-6480-4B42-A485-42DB30C02B17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51F02C1C-2AF8-4456-B0EF-D98D0C152421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B547247-59BB-4BD9-91EC-39D7FA7E6C67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FAA35DA6-A448-46DD-BB7C-3FE7A1DAE27E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C7610CBA-FB07-4C1D-A225-C7B9D4FDD604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B3ED3898-3461-4BC4-BBB4-82D35EC9C5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D36E6C52-04A3-4195-8F90-F1E6BDF2F4D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A04B81C3-E234-4CED-AB69-D9C9078DED65}"/>
            </a:ext>
          </a:extLst>
        </xdr:cNvPr>
        <xdr:cNvSpPr txBox="1"/>
      </xdr:nvSpPr>
      <xdr:spPr>
        <a:xfrm>
          <a:off x="6143625" y="2047875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306B14B-CF0C-463D-8FB9-1EBF19BE9B4B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1186AB6-8544-4C1F-A200-D16071CDE54E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CA44D13E-D84F-4582-BCA9-13FF186CC1F6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FABCD1D-AD90-41F8-B203-D8252B8B9C6D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80A2D7DB-E1A8-46EE-AD2F-C6D27668FD07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7C86D8D3-1F2A-472C-B1E9-61B1E821D3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5F01FAE1-D7F3-4A25-B587-2AFEB4F9B6D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829E328-31B0-423D-A75B-0CC7EB0B6A79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B30D0B8D-39B3-40C7-8219-7803F825D526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FA85B4A9-83B6-4F95-A1C1-2F6BA35C14F2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5194452-1C4E-4549-A564-42D6302E0CE9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DE43CD07-D3F8-4ECD-8C0F-9789BFAF973B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9076484D-B0DF-4089-98AD-F5C3EA3FB8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47DDF8B1-1875-4806-A065-4C39B793746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4CD4589-868B-47B5-BB7A-CFEC475D676A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DB4281A-37C6-4C21-88CD-63CCEAE87A7D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1C40FDF-8144-47CD-97E2-F1DDF6E86FC8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31E333AB-D8D8-4FAC-9B52-9526BDD792CF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32810F41-3FF2-490C-A90E-9F66E49E66DE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F21F24F5-4EBC-4437-A896-3522BD1B17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BAF6568F-4895-4E5E-A5F8-D216FA2655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ED97833-23FA-4839-B2E4-0A77F3D4844B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56CC9690-23D0-4A99-BD39-6E471E3AE651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C5EBDE4-278C-4956-AEF2-160829964A40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32F4BF7-F0BD-431F-97DD-889A8781145A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147547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583050D-750B-4242-B76B-1CEE24B8B073}"/>
            </a:ext>
          </a:extLst>
        </xdr:cNvPr>
        <xdr:cNvSpPr txBox="1"/>
      </xdr:nvSpPr>
      <xdr:spPr>
        <a:xfrm>
          <a:off x="6395757" y="177613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0D5B81F8-58B4-44FC-99F6-D8C2BCABE3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5F9B3E58-8362-4DA4-B651-B64E91ABFD8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1AA49C7-3E36-4096-9EA5-E4747E3A635D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6446F29B-BA8E-4E34-BD99-0B953506A2A9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A04B81C3-E234-4CED-AB69-D9C9078DED65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6B3F7047-5CCA-4309-B8A3-BF78BEA316D2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CD129F7A-7FF1-416D-87B9-6410396CC591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BA81B633-F5DF-414A-9789-29029B8130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2138092A-20D0-4739-BC8F-A3625D0EDF5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27D43FE-222F-4633-87D1-F83C985935BB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E143F667-9E19-44D2-9941-F3DFEC9908B0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78338BD-7F7B-4EEE-A287-03AA7CEADD92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A407DC3F-073C-4F52-9C88-3B320119C0DB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3AC0D30-60DB-4FEF-AC72-D89A847AF019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FB661277-D55D-4E14-9EC0-E0C5646548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6FFDC49A-3547-42E1-BDD6-D14A495392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2B0E64C-AE72-4749-81EB-AA2233467E13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B5C4B6D5-00CE-464A-A885-D6C90DDA0E79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93422D44-2664-42F3-9675-01B0CFE861F0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393043BD-EC95-414A-8C6D-11C50297509D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1D85B8B6-EA07-4A8F-867D-C522C2EF7892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3BD577ED-634F-493E-9485-669D37B5D5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A87FF298-AC46-40BF-8D8F-1935AA76E54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574D22F-C653-4CD2-9E1E-F2B025B6D4D0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7A1016C-655A-4C99-95C1-DC76DDA2A934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5653009-E869-4A9A-A104-522A04641F36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AEE61514-B5D7-49CB-9E0E-13281D532D9E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DE568D42-9F68-4834-9BB4-EA194ED783DF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AD79AE5F-34F2-40D2-AC69-16EA654341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9192D371-B24E-4D8C-9CCB-0E35D75F44A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8EE60AB-A32B-4EFE-973E-9861E0CCA64C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25E6B4CB-D2CF-459F-9DEA-0981783B3F1D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F2E551E-98E3-4502-BE36-95EE62233E54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6FA156A7-6F03-43A4-AF5D-7E08BA680EF2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7BF620A-90B6-4D17-8D5C-684C5E648C62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84F53C23-7D9D-45C5-BD13-A2EB950533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E86957D3-42BA-4E09-9BBD-494DBE8602C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F78CE9D-E3E9-4DD8-9055-D7C741FB6DA1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679C72F9-0275-4552-9531-FC901C87072E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C61140B8-6B8C-40D7-B765-1A2CA865F028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8AEB0AF-489E-4AD6-893B-555966B74608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43E793E-CA56-4404-A5B5-B2434D3C3E7D}"/>
            </a:ext>
          </a:extLst>
        </xdr:cNvPr>
        <xdr:cNvSpPr txBox="1"/>
      </xdr:nvSpPr>
      <xdr:spPr>
        <a:xfrm>
          <a:off x="639762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44F693A8-75EF-4A28-9E4B-3BCEA8F19C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61C907E0-97DE-4648-84FB-977C79355F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1314406-C9D5-4AA8-8DDD-BE51A1CEDF11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F6C509-9EF7-46BC-9A5B-B9061288C7BF}"/>
            </a:ext>
          </a:extLst>
        </xdr:cNvPr>
        <xdr:cNvSpPr txBox="1"/>
      </xdr:nvSpPr>
      <xdr:spPr>
        <a:xfrm>
          <a:off x="640715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C4ABDA47-12C8-437F-AFE6-261BAF0363E5}"/>
            </a:ext>
          </a:extLst>
        </xdr:cNvPr>
        <xdr:cNvSpPr txBox="1"/>
      </xdr:nvSpPr>
      <xdr:spPr>
        <a:xfrm>
          <a:off x="640715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50173982-DC79-4C77-85B9-55FE6D4B01B3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9</xdr:row>
      <xdr:rowOff>95250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827E2CE5-76A1-4E5A-8D92-C31A261E03D5}"/>
            </a:ext>
          </a:extLst>
        </xdr:cNvPr>
        <xdr:cNvSpPr txBox="1"/>
      </xdr:nvSpPr>
      <xdr:spPr>
        <a:xfrm>
          <a:off x="6378575" y="17145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EC539521-9ECC-4E5B-988D-32F7B615A3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537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3B7EAE05-A1C6-43CA-8C34-7AE1C2684B7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61F7046-7D70-4A63-AD1F-C2AF7BD83F32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E921F335-43BA-4BBE-B8EF-45308D675D56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880C340F-A409-4311-A823-E66AD80FA43F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1CD2A4E-40E8-4F8B-8FCD-6B2D9C8AC2CD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11</xdr:row>
      <xdr:rowOff>5600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4971ED04-D37D-4D79-B70E-34EC494E8F01}"/>
            </a:ext>
          </a:extLst>
        </xdr:cNvPr>
        <xdr:cNvSpPr txBox="1"/>
      </xdr:nvSpPr>
      <xdr:spPr>
        <a:xfrm>
          <a:off x="6395757" y="1992776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E26D8A5D-3BEE-40BC-BDD5-D59C46D711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4DB2E56D-7DE2-4BD5-9055-CC7E9F7EC2D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6DE8811-33C8-4A5E-862A-3735B29B4ED1}"/>
            </a:ext>
          </a:extLst>
        </xdr:cNvPr>
        <xdr:cNvSpPr txBox="1"/>
      </xdr:nvSpPr>
      <xdr:spPr>
        <a:xfrm>
          <a:off x="936625" y="1974850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DC3CFD90-1DB7-4F66-87D4-A7E8569FFF92}"/>
            </a:ext>
          </a:extLst>
        </xdr:cNvPr>
        <xdr:cNvSpPr txBox="1"/>
      </xdr:nvSpPr>
      <xdr:spPr>
        <a:xfrm>
          <a:off x="6426200" y="17970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503E2B7-5ED7-4637-B571-F2D3199ECF17}"/>
            </a:ext>
          </a:extLst>
        </xdr:cNvPr>
        <xdr:cNvSpPr txBox="1"/>
      </xdr:nvSpPr>
      <xdr:spPr>
        <a:xfrm>
          <a:off x="6426200" y="201295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3996571-6C90-410A-8865-039862C2E247}"/>
            </a:ext>
          </a:extLst>
        </xdr:cNvPr>
        <xdr:cNvSpPr txBox="1"/>
      </xdr:nvSpPr>
      <xdr:spPr>
        <a:xfrm>
          <a:off x="936625" y="179705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11</xdr:row>
      <xdr:rowOff>5600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82AB57D-9EF5-437D-BBDB-CE8280A9EB00}"/>
            </a:ext>
          </a:extLst>
        </xdr:cNvPr>
        <xdr:cNvSpPr txBox="1"/>
      </xdr:nvSpPr>
      <xdr:spPr>
        <a:xfrm>
          <a:off x="6397625" y="198045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CE454FA1-B987-45FC-B1C9-301C5413D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4425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A1CB041D-5C19-4449-9BB6-C243A9B6C2D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8525" y="215900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6DE8811-33C8-4A5E-862A-3735B29B4ED1}"/>
            </a:ext>
          </a:extLst>
        </xdr:cNvPr>
        <xdr:cNvSpPr txBox="1"/>
      </xdr:nvSpPr>
      <xdr:spPr>
        <a:xfrm>
          <a:off x="904875" y="2009775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DC3CFD90-1DB7-4F66-87D4-A7E8569FFF92}"/>
            </a:ext>
          </a:extLst>
        </xdr:cNvPr>
        <xdr:cNvSpPr txBox="1"/>
      </xdr:nvSpPr>
      <xdr:spPr>
        <a:xfrm>
          <a:off x="6143625" y="182880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503E2B7-5ED7-4637-B571-F2D3199ECF17}"/>
            </a:ext>
          </a:extLst>
        </xdr:cNvPr>
        <xdr:cNvSpPr txBox="1"/>
      </xdr:nvSpPr>
      <xdr:spPr>
        <a:xfrm>
          <a:off x="6143625" y="2047875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3996571-6C90-410A-8865-039862C2E247}"/>
            </a:ext>
          </a:extLst>
        </xdr:cNvPr>
        <xdr:cNvSpPr txBox="1"/>
      </xdr:nvSpPr>
      <xdr:spPr>
        <a:xfrm>
          <a:off x="904875" y="182880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11</xdr:row>
      <xdr:rowOff>5600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82AB57D-9EF5-437D-BBDB-CE8280A9EB00}"/>
            </a:ext>
          </a:extLst>
        </xdr:cNvPr>
        <xdr:cNvSpPr txBox="1"/>
      </xdr:nvSpPr>
      <xdr:spPr>
        <a:xfrm>
          <a:off x="6115050" y="201537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CE454FA1-B987-45FC-B1C9-301C5413D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A1CB041D-5C19-4449-9BB6-C243A9B6C2D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6775" y="219075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11</xdr:row>
      <xdr:rowOff>0</xdr:rowOff>
    </xdr:from>
    <xdr:ext cx="238125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6DE8811-33C8-4A5E-862A-3735B29B4ED1}"/>
            </a:ext>
          </a:extLst>
        </xdr:cNvPr>
        <xdr:cNvSpPr txBox="1"/>
      </xdr:nvSpPr>
      <xdr:spPr>
        <a:xfrm>
          <a:off x="904875" y="2009775"/>
          <a:ext cx="238125" cy="20955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10</xdr:row>
      <xdr:rowOff>0</xdr:rowOff>
    </xdr:from>
    <xdr:ext cx="228600" cy="1905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DC3CFD90-1DB7-4F66-87D4-A7E8569FFF92}"/>
            </a:ext>
          </a:extLst>
        </xdr:cNvPr>
        <xdr:cNvSpPr txBox="1"/>
      </xdr:nvSpPr>
      <xdr:spPr>
        <a:xfrm>
          <a:off x="6143625" y="1828800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171450</xdr:colOff>
      <xdr:row>12</xdr:row>
      <xdr:rowOff>0</xdr:rowOff>
    </xdr:from>
    <xdr:ext cx="228600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503E2B7-5ED7-4637-B571-F2D3199ECF17}"/>
            </a:ext>
          </a:extLst>
        </xdr:cNvPr>
        <xdr:cNvSpPr txBox="1"/>
      </xdr:nvSpPr>
      <xdr:spPr>
        <a:xfrm>
          <a:off x="6143625" y="2047875"/>
          <a:ext cx="228600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238125</xdr:colOff>
      <xdr:row>10</xdr:row>
      <xdr:rowOff>0</xdr:rowOff>
    </xdr:from>
    <xdr:ext cx="2381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3996571-6C90-410A-8865-039862C2E247}"/>
            </a:ext>
          </a:extLst>
        </xdr:cNvPr>
        <xdr:cNvSpPr txBox="1"/>
      </xdr:nvSpPr>
      <xdr:spPr>
        <a:xfrm>
          <a:off x="904875" y="1828800"/>
          <a:ext cx="238125" cy="190500"/>
        </a:xfrm>
        <a:prstGeom prst="rect">
          <a:avLst/>
        </a:prstGeom>
        <a:noFill/>
        <a:ln w="9525" cap="flat" cmpd="sng">
          <a:solidFill>
            <a:srgbClr val="62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137150" tIns="91425" rIns="137150" bIns="91425" anchor="t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 i="1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142875</xdr:colOff>
      <xdr:row>11</xdr:row>
      <xdr:rowOff>5600</xdr:rowOff>
    </xdr:from>
    <xdr:ext cx="3143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82AB57D-9EF5-437D-BBDB-CE8280A9EB00}"/>
            </a:ext>
          </a:extLst>
        </xdr:cNvPr>
        <xdr:cNvSpPr txBox="1"/>
      </xdr:nvSpPr>
      <xdr:spPr>
        <a:xfrm>
          <a:off x="6115050" y="201537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7</xdr:col>
      <xdr:colOff>600075</xdr:colOff>
      <xdr:row>0</xdr:row>
      <xdr:rowOff>142875</xdr:rowOff>
    </xdr:from>
    <xdr:ext cx="704850" cy="838200"/>
    <xdr:pic>
      <xdr:nvPicPr>
        <xdr:cNvPr id="7" name="image2.png" descr="Municipal-Seal-animated">
          <a:extLst>
            <a:ext uri="{FF2B5EF4-FFF2-40B4-BE49-F238E27FC236}">
              <a16:creationId xmlns:a16="http://schemas.microsoft.com/office/drawing/2014/main" id="{CE454FA1-B987-45FC-B1C9-301C5413D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142875"/>
          <a:ext cx="70485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</xdr:row>
      <xdr:rowOff>38100</xdr:rowOff>
    </xdr:from>
    <xdr:ext cx="590550" cy="638175"/>
    <xdr:pic>
      <xdr:nvPicPr>
        <xdr:cNvPr id="8" name="image1.jpg" descr="tcc logo">
          <a:extLst>
            <a:ext uri="{FF2B5EF4-FFF2-40B4-BE49-F238E27FC236}">
              <a16:creationId xmlns:a16="http://schemas.microsoft.com/office/drawing/2014/main" id="{A1CB041D-5C19-4449-9BB6-C243A9B6C2D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6775" y="219075"/>
          <a:ext cx="590550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zoomScaleNormal="100" workbookViewId="0">
      <selection activeCell="C9" sqref="C9"/>
    </sheetView>
  </sheetViews>
  <sheetFormatPr defaultRowHeight="15" x14ac:dyDescent="0.25"/>
  <cols>
    <col min="1" max="1" width="5.5703125" bestFit="1" customWidth="1"/>
    <col min="2" max="2" width="38.28515625" bestFit="1" customWidth="1"/>
    <col min="3" max="6" width="10" style="47" customWidth="1"/>
    <col min="8" max="8" width="5.85546875" style="86" bestFit="1" customWidth="1"/>
    <col min="9" max="9" width="27.28515625" style="86" customWidth="1"/>
    <col min="10" max="10" width="8.7109375" style="86"/>
    <col min="11" max="11" width="3.42578125" style="86" bestFit="1" customWidth="1"/>
    <col min="12" max="12" width="11.140625" style="86" bestFit="1" customWidth="1"/>
    <col min="13" max="13" width="6.140625" style="86" bestFit="1" customWidth="1"/>
    <col min="14" max="14" width="9.140625" style="86" bestFit="1" customWidth="1"/>
    <col min="15" max="15" width="2.85546875" style="86" bestFit="1" customWidth="1"/>
    <col min="16" max="18" width="1.85546875" style="86" bestFit="1" customWidth="1"/>
    <col min="19" max="19" width="2.85546875" style="86" bestFit="1" customWidth="1"/>
    <col min="20" max="20" width="8.7109375" style="86"/>
  </cols>
  <sheetData>
    <row r="1" spans="1:20" s="61" customFormat="1" ht="26.25" x14ac:dyDescent="0.4">
      <c r="A1" s="429" t="s">
        <v>194</v>
      </c>
      <c r="B1" s="429"/>
      <c r="C1" s="269" t="s">
        <v>53</v>
      </c>
      <c r="D1" s="269" t="s">
        <v>54</v>
      </c>
      <c r="E1" s="269" t="s">
        <v>55</v>
      </c>
      <c r="F1" s="269" t="s">
        <v>21</v>
      </c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ht="26.25" x14ac:dyDescent="0.4">
      <c r="A2" s="374">
        <v>1</v>
      </c>
      <c r="B2" s="374" t="s">
        <v>240</v>
      </c>
      <c r="C2" s="85">
        <f>'Actub P'!L22</f>
        <v>9</v>
      </c>
      <c r="D2" s="85">
        <f>'Actub P'!L27</f>
        <v>12</v>
      </c>
      <c r="E2" s="85">
        <f>'Actub P'!L45</f>
        <v>11</v>
      </c>
      <c r="F2" s="85">
        <f>SUM(C2:E2)</f>
        <v>32</v>
      </c>
    </row>
    <row r="3" spans="1:20" ht="26.25" x14ac:dyDescent="0.4">
      <c r="A3" s="374">
        <v>2</v>
      </c>
      <c r="B3" s="374" t="s">
        <v>241</v>
      </c>
      <c r="C3" s="85">
        <v>0</v>
      </c>
      <c r="D3" s="85">
        <f>'Casiño G'!L26</f>
        <v>21</v>
      </c>
      <c r="E3" s="85">
        <f>'Casiño G'!L42</f>
        <v>12</v>
      </c>
      <c r="F3" s="97">
        <f t="shared" ref="F3:F6" si="0">SUM(C3:E3)</f>
        <v>33</v>
      </c>
    </row>
    <row r="4" spans="1:20" ht="26.25" x14ac:dyDescent="0.4">
      <c r="A4" s="374">
        <v>3</v>
      </c>
      <c r="B4" s="374" t="s">
        <v>242</v>
      </c>
      <c r="C4" s="97">
        <f>CasiñoK!L22</f>
        <v>9</v>
      </c>
      <c r="D4" s="97">
        <f>CasiñoK!L27</f>
        <v>12</v>
      </c>
      <c r="E4" s="97">
        <f>CasiñoK!L45</f>
        <v>9</v>
      </c>
      <c r="F4" s="97">
        <f t="shared" si="0"/>
        <v>30</v>
      </c>
    </row>
    <row r="5" spans="1:20" s="338" customFormat="1" ht="26.25" x14ac:dyDescent="0.4">
      <c r="A5" s="374">
        <v>4</v>
      </c>
      <c r="B5" s="374" t="s">
        <v>239</v>
      </c>
      <c r="C5" s="336">
        <f>'Caturan A'!L27</f>
        <v>21</v>
      </c>
      <c r="D5" s="336">
        <f>'Caturan A'!L32</f>
        <v>0</v>
      </c>
      <c r="E5" s="336">
        <f>'Caturan A'!L49</f>
        <v>7</v>
      </c>
      <c r="F5" s="336">
        <f t="shared" si="0"/>
        <v>28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</row>
    <row r="6" spans="1:20" ht="26.25" x14ac:dyDescent="0.4">
      <c r="A6" s="374">
        <v>5</v>
      </c>
      <c r="B6" s="374" t="s">
        <v>243</v>
      </c>
      <c r="C6" s="85">
        <f>'DelRosario J'!L27</f>
        <v>21</v>
      </c>
      <c r="D6" s="85">
        <f>'DelRosario J'!L32</f>
        <v>0</v>
      </c>
      <c r="E6" s="85">
        <f>'DelRosario J'!L50</f>
        <v>9</v>
      </c>
      <c r="F6" s="97">
        <f t="shared" si="0"/>
        <v>30</v>
      </c>
    </row>
    <row r="7" spans="1:20" ht="26.25" x14ac:dyDescent="0.4">
      <c r="A7" s="374">
        <v>6</v>
      </c>
      <c r="B7" s="374" t="s">
        <v>244</v>
      </c>
      <c r="C7" s="85">
        <f>'Eduave G'!L20</f>
        <v>6</v>
      </c>
      <c r="D7" s="85">
        <f>'Eduave G'!L25</f>
        <v>15</v>
      </c>
      <c r="E7" s="85">
        <f>'Eduave G'!L41</f>
        <v>12</v>
      </c>
      <c r="F7" s="85">
        <f t="shared" ref="F7:F20" si="1">SUM(C7:E7)</f>
        <v>33</v>
      </c>
    </row>
    <row r="8" spans="1:20" ht="26.25" x14ac:dyDescent="0.4">
      <c r="A8" s="374">
        <v>7</v>
      </c>
      <c r="B8" s="374" t="s">
        <v>245</v>
      </c>
      <c r="C8" s="85">
        <f>'Llemit A'!L22</f>
        <v>6</v>
      </c>
      <c r="D8" s="85">
        <f>'Llemit A'!L27</f>
        <v>15</v>
      </c>
      <c r="E8" s="85">
        <f>'Llemit A'!L46</f>
        <v>12</v>
      </c>
      <c r="F8" s="85">
        <f t="shared" si="1"/>
        <v>33</v>
      </c>
    </row>
    <row r="9" spans="1:20" ht="26.25" x14ac:dyDescent="0.4">
      <c r="A9" s="374">
        <v>8</v>
      </c>
      <c r="B9" s="374" t="s">
        <v>246</v>
      </c>
      <c r="C9" s="85">
        <f>'Molawan A'!L27</f>
        <v>21</v>
      </c>
      <c r="D9" s="85">
        <f>'Molawan A'!L32</f>
        <v>0</v>
      </c>
      <c r="E9" s="85">
        <f>'Molawan A'!L51</f>
        <v>10</v>
      </c>
      <c r="F9" s="85">
        <f t="shared" si="1"/>
        <v>31</v>
      </c>
    </row>
    <row r="10" spans="1:20" ht="26.25" x14ac:dyDescent="0.4">
      <c r="A10" s="374">
        <v>9</v>
      </c>
      <c r="B10" s="374" t="s">
        <v>247</v>
      </c>
      <c r="C10" s="85">
        <f>'Oyok A'!L22</f>
        <v>9</v>
      </c>
      <c r="D10" s="85">
        <f>'Oyok A'!L27</f>
        <v>12</v>
      </c>
      <c r="E10" s="85">
        <f>'Oyok A'!L48</f>
        <v>0</v>
      </c>
      <c r="F10" s="85">
        <f t="shared" si="1"/>
        <v>21</v>
      </c>
    </row>
    <row r="11" spans="1:20" ht="26.25" x14ac:dyDescent="0.4">
      <c r="A11" s="374">
        <v>10</v>
      </c>
      <c r="B11" s="374" t="s">
        <v>248</v>
      </c>
      <c r="C11" s="85">
        <f>'Pada J'!L28</f>
        <v>21</v>
      </c>
      <c r="D11" s="85">
        <f>'Pada J'!L33</f>
        <v>0</v>
      </c>
      <c r="E11" s="85">
        <f>'Pada J'!L51</f>
        <v>11</v>
      </c>
      <c r="F11" s="85">
        <f t="shared" si="1"/>
        <v>32</v>
      </c>
    </row>
    <row r="12" spans="1:20" ht="26.25" x14ac:dyDescent="0.4">
      <c r="A12" s="374">
        <v>11</v>
      </c>
      <c r="B12" s="374" t="s">
        <v>249</v>
      </c>
      <c r="C12" s="85">
        <f>'Padilla J'!L22</f>
        <v>9</v>
      </c>
      <c r="D12" s="85">
        <v>12</v>
      </c>
      <c r="E12" s="85">
        <f>'Padilla J'!L45</f>
        <v>11</v>
      </c>
      <c r="F12" s="85">
        <f t="shared" si="1"/>
        <v>32</v>
      </c>
    </row>
    <row r="13" spans="1:20" ht="26.25" x14ac:dyDescent="0.4">
      <c r="A13" s="374">
        <v>12</v>
      </c>
      <c r="B13" s="374" t="s">
        <v>250</v>
      </c>
      <c r="C13" s="85">
        <f>'Perez N'!L28</f>
        <v>21</v>
      </c>
      <c r="D13" s="85">
        <f>'Perez N'!L33</f>
        <v>0</v>
      </c>
      <c r="E13" s="85">
        <f>'Perez N'!L51</f>
        <v>12</v>
      </c>
      <c r="F13" s="85">
        <f t="shared" si="1"/>
        <v>33</v>
      </c>
    </row>
    <row r="14" spans="1:20" ht="26.25" x14ac:dyDescent="0.4">
      <c r="A14" s="374">
        <v>13</v>
      </c>
      <c r="B14" s="374" t="s">
        <v>251</v>
      </c>
      <c r="C14" s="269">
        <f>'Razalo J'!L27</f>
        <v>21</v>
      </c>
      <c r="D14" s="269">
        <f>'Razalo J'!L31</f>
        <v>0</v>
      </c>
      <c r="E14" s="269">
        <f>'Razalo J'!L51</f>
        <v>12</v>
      </c>
      <c r="F14" s="269">
        <f t="shared" si="1"/>
        <v>33</v>
      </c>
    </row>
    <row r="15" spans="1:20" ht="26.25" x14ac:dyDescent="0.4">
      <c r="A15" s="374">
        <v>14</v>
      </c>
      <c r="B15" s="374" t="s">
        <v>252</v>
      </c>
      <c r="C15" s="269">
        <f>'Roa N'!L28</f>
        <v>21</v>
      </c>
      <c r="D15" s="269">
        <f>'Roa N'!L33</f>
        <v>0</v>
      </c>
      <c r="E15" s="269">
        <f>'Roa N'!L51</f>
        <v>12</v>
      </c>
      <c r="F15" s="269">
        <f t="shared" si="1"/>
        <v>33</v>
      </c>
    </row>
    <row r="16" spans="1:20" ht="26.25" x14ac:dyDescent="0.4">
      <c r="A16" s="374">
        <v>15</v>
      </c>
      <c r="B16" s="374" t="s">
        <v>253</v>
      </c>
      <c r="C16" s="269">
        <f>'Tabada J'!L25</f>
        <v>21</v>
      </c>
      <c r="D16" s="269">
        <f>'Tabada J'!L30</f>
        <v>0</v>
      </c>
      <c r="E16" s="269">
        <f>'Tabada J'!L47</f>
        <v>9</v>
      </c>
      <c r="F16" s="269">
        <f t="shared" si="1"/>
        <v>30</v>
      </c>
    </row>
    <row r="17" spans="1:20" ht="26.25" x14ac:dyDescent="0.4">
      <c r="A17" s="374">
        <v>16</v>
      </c>
      <c r="B17" s="374" t="s">
        <v>254</v>
      </c>
      <c r="C17" s="269">
        <f>'Waga KR'!L24</f>
        <v>15</v>
      </c>
      <c r="D17" s="269">
        <f>'Waga KR'!L29</f>
        <v>6</v>
      </c>
      <c r="E17" s="269">
        <f>'Waga KR'!L47</f>
        <v>12</v>
      </c>
      <c r="F17" s="269">
        <f t="shared" si="1"/>
        <v>33</v>
      </c>
    </row>
    <row r="18" spans="1:20" s="270" customFormat="1" ht="26.25" x14ac:dyDescent="0.4">
      <c r="A18" s="375"/>
      <c r="B18" s="375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</row>
    <row r="19" spans="1:20" ht="26.25" x14ac:dyDescent="0.4">
      <c r="A19" s="429" t="s">
        <v>193</v>
      </c>
      <c r="B19" s="429"/>
      <c r="C19" s="269" t="s">
        <v>53</v>
      </c>
      <c r="D19" s="269" t="s">
        <v>54</v>
      </c>
      <c r="E19" s="269" t="s">
        <v>55</v>
      </c>
      <c r="F19" s="269" t="s">
        <v>21</v>
      </c>
    </row>
    <row r="20" spans="1:20" ht="26.25" x14ac:dyDescent="0.4">
      <c r="A20" s="374">
        <v>1</v>
      </c>
      <c r="B20" s="374" t="s">
        <v>255</v>
      </c>
      <c r="C20" s="269">
        <v>9</v>
      </c>
      <c r="D20" s="269"/>
      <c r="E20" s="269">
        <v>6</v>
      </c>
      <c r="F20" s="269">
        <f t="shared" si="1"/>
        <v>15</v>
      </c>
    </row>
    <row r="21" spans="1:20" ht="26.25" x14ac:dyDescent="0.4">
      <c r="A21" s="374">
        <v>2</v>
      </c>
      <c r="B21" s="374" t="s">
        <v>256</v>
      </c>
      <c r="C21" s="269">
        <v>10</v>
      </c>
      <c r="D21" s="269"/>
      <c r="E21" s="269">
        <v>5</v>
      </c>
      <c r="F21" s="269">
        <v>5</v>
      </c>
    </row>
    <row r="22" spans="1:20" ht="26.25" x14ac:dyDescent="0.4">
      <c r="A22" s="376">
        <v>3</v>
      </c>
      <c r="B22" s="376" t="s">
        <v>257</v>
      </c>
      <c r="C22" s="278">
        <v>8</v>
      </c>
      <c r="D22" s="278"/>
      <c r="E22" s="278"/>
      <c r="F22" s="279"/>
      <c r="G22" s="81"/>
    </row>
    <row r="23" spans="1:20" x14ac:dyDescent="0.25"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</row>
    <row r="24" spans="1:20" x14ac:dyDescent="0.25"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</row>
    <row r="25" spans="1:20" x14ac:dyDescent="0.25"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</row>
    <row r="26" spans="1:20" x14ac:dyDescent="0.25"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</row>
  </sheetData>
  <sortState ref="A2:F17">
    <sortCondition ref="B2:B17"/>
  </sortState>
  <mergeCells count="2">
    <mergeCell ref="A1:B1"/>
    <mergeCell ref="A19:B1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92"/>
  <sheetViews>
    <sheetView topLeftCell="A31" zoomScale="115" zoomScaleNormal="115" workbookViewId="0">
      <selection activeCell="O25" sqref="O25"/>
    </sheetView>
  </sheetViews>
  <sheetFormatPr defaultColWidth="14.42578125" defaultRowHeight="15" customHeight="1" x14ac:dyDescent="0.25"/>
  <cols>
    <col min="1" max="1" width="10" style="321" customWidth="1"/>
    <col min="2" max="2" width="8.85546875" style="321" customWidth="1"/>
    <col min="3" max="3" width="16.7109375" style="321" customWidth="1"/>
    <col min="4" max="4" width="8" style="321" customWidth="1"/>
    <col min="5" max="5" width="16.85546875" style="321" customWidth="1"/>
    <col min="6" max="6" width="9.7109375" style="321" customWidth="1"/>
    <col min="7" max="7" width="10" style="321" customWidth="1"/>
    <col min="8" max="8" width="9.42578125" style="86" customWidth="1"/>
    <col min="9" max="12" width="5.85546875" style="321" customWidth="1"/>
    <col min="13" max="26" width="8.85546875" style="321" customWidth="1"/>
    <col min="27" max="16384" width="14.42578125" style="321"/>
  </cols>
  <sheetData>
    <row r="1" spans="1:12" ht="14.25" customHeight="1" x14ac:dyDescent="0.25">
      <c r="A1" s="324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25"/>
      <c r="B8" s="325"/>
      <c r="C8" s="325"/>
      <c r="D8" s="325"/>
      <c r="E8" s="4"/>
      <c r="F8" s="325"/>
      <c r="G8" s="325"/>
      <c r="H8" s="320"/>
      <c r="I8" s="325"/>
      <c r="J8" s="325"/>
      <c r="K8" s="325"/>
      <c r="L8" s="325"/>
    </row>
    <row r="9" spans="1:12" ht="20.25" customHeight="1" x14ac:dyDescent="0.3">
      <c r="A9" s="496" t="s">
        <v>201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2" ht="15.75" thickBot="1" x14ac:dyDescent="0.3">
      <c r="A18" s="799"/>
      <c r="B18" s="802"/>
      <c r="C18" s="802"/>
      <c r="D18" s="793"/>
      <c r="E18" s="800"/>
      <c r="F18" s="793"/>
      <c r="G18" s="793"/>
      <c r="H18" s="793"/>
      <c r="I18" s="793"/>
      <c r="J18" s="793"/>
      <c r="K18" s="793"/>
      <c r="L18" s="801"/>
    </row>
    <row r="19" spans="1:12" ht="20.25" customHeight="1" x14ac:dyDescent="0.25">
      <c r="A19" s="410"/>
      <c r="B19" s="438"/>
      <c r="C19" s="439"/>
      <c r="D19" s="410"/>
      <c r="E19" s="134" t="s">
        <v>29</v>
      </c>
      <c r="F19" s="141"/>
      <c r="G19" s="141"/>
      <c r="H19" s="182"/>
      <c r="I19" s="143"/>
      <c r="J19" s="143"/>
      <c r="K19" s="234">
        <f>SUM(K24:K24)</f>
        <v>0</v>
      </c>
      <c r="L19" s="234">
        <v>3</v>
      </c>
    </row>
    <row r="20" spans="1:12" s="407" customFormat="1" ht="14.25" customHeight="1" x14ac:dyDescent="0.25">
      <c r="A20" s="410"/>
      <c r="B20" s="409"/>
      <c r="C20" s="410"/>
      <c r="D20" s="410"/>
      <c r="E20" s="134"/>
      <c r="F20" s="141"/>
      <c r="G20" s="141"/>
      <c r="H20" s="182"/>
      <c r="I20" s="143"/>
      <c r="J20" s="143"/>
      <c r="K20" s="234"/>
      <c r="L20" s="234"/>
    </row>
    <row r="21" spans="1:12" ht="14.25" customHeight="1" thickBot="1" x14ac:dyDescent="0.3">
      <c r="A21" s="193" t="s">
        <v>30</v>
      </c>
      <c r="B21" s="165"/>
      <c r="C21" s="410"/>
      <c r="D21" s="410"/>
      <c r="E21" s="138"/>
      <c r="F21" s="410"/>
      <c r="G21" s="410"/>
      <c r="H21" s="183"/>
      <c r="I21" s="410"/>
      <c r="J21" s="410"/>
      <c r="K21" s="410"/>
      <c r="L21" s="410"/>
    </row>
    <row r="22" spans="1:12" ht="14.25" customHeight="1" x14ac:dyDescent="0.25">
      <c r="A22" s="485" t="s">
        <v>13</v>
      </c>
      <c r="B22" s="487" t="s">
        <v>14</v>
      </c>
      <c r="C22" s="488"/>
      <c r="D22" s="487" t="s">
        <v>15</v>
      </c>
      <c r="E22" s="487" t="s">
        <v>16</v>
      </c>
      <c r="F22" s="488"/>
      <c r="G22" s="488"/>
      <c r="H22" s="441" t="s">
        <v>19</v>
      </c>
      <c r="I22" s="408" t="s">
        <v>20</v>
      </c>
      <c r="J22" s="408" t="s">
        <v>20</v>
      </c>
      <c r="K22" s="408" t="s">
        <v>21</v>
      </c>
      <c r="L22" s="241" t="s">
        <v>22</v>
      </c>
    </row>
    <row r="23" spans="1:12" ht="14.25" customHeight="1" thickBot="1" x14ac:dyDescent="0.3">
      <c r="A23" s="486"/>
      <c r="B23" s="489"/>
      <c r="C23" s="489"/>
      <c r="D23" s="489"/>
      <c r="E23" s="489"/>
      <c r="F23" s="489"/>
      <c r="G23" s="489"/>
      <c r="H23" s="442"/>
      <c r="I23" s="359" t="s">
        <v>23</v>
      </c>
      <c r="J23" s="359" t="s">
        <v>24</v>
      </c>
      <c r="K23" s="359" t="s">
        <v>25</v>
      </c>
      <c r="L23" s="360" t="s">
        <v>26</v>
      </c>
    </row>
    <row r="24" spans="1:12" ht="14.25" customHeight="1" x14ac:dyDescent="0.25">
      <c r="A24" s="483" t="s">
        <v>202</v>
      </c>
      <c r="B24" s="484"/>
      <c r="C24" s="484"/>
      <c r="D24" s="357" t="s">
        <v>203</v>
      </c>
      <c r="E24" s="357" t="s">
        <v>203</v>
      </c>
      <c r="F24" s="357" t="s">
        <v>203</v>
      </c>
      <c r="G24" s="357" t="s">
        <v>203</v>
      </c>
      <c r="H24" s="357" t="s">
        <v>203</v>
      </c>
      <c r="I24" s="357" t="s">
        <v>203</v>
      </c>
      <c r="J24" s="357" t="s">
        <v>203</v>
      </c>
      <c r="K24" s="357" t="s">
        <v>203</v>
      </c>
      <c r="L24" s="358">
        <v>12</v>
      </c>
    </row>
    <row r="25" spans="1:12" ht="14.25" customHeight="1" thickBot="1" x14ac:dyDescent="0.3">
      <c r="A25" s="490" t="s">
        <v>204</v>
      </c>
      <c r="B25" s="491"/>
      <c r="C25" s="491"/>
      <c r="D25" s="341" t="s">
        <v>203</v>
      </c>
      <c r="E25" s="341" t="s">
        <v>203</v>
      </c>
      <c r="F25" s="341" t="s">
        <v>203</v>
      </c>
      <c r="G25" s="341" t="s">
        <v>203</v>
      </c>
      <c r="H25" s="341" t="s">
        <v>203</v>
      </c>
      <c r="I25" s="341" t="s">
        <v>203</v>
      </c>
      <c r="J25" s="341" t="s">
        <v>203</v>
      </c>
      <c r="K25" s="341" t="s">
        <v>203</v>
      </c>
      <c r="L25" s="356">
        <v>9</v>
      </c>
    </row>
    <row r="26" spans="1:12" ht="14.25" customHeight="1" x14ac:dyDescent="0.25">
      <c r="D26" s="10" t="s">
        <v>31</v>
      </c>
      <c r="E26" s="17"/>
      <c r="F26" s="11"/>
      <c r="G26" s="11"/>
      <c r="H26" s="173"/>
      <c r="I26" s="11"/>
      <c r="K26" s="32">
        <f>SUM(K25)</f>
        <v>0</v>
      </c>
      <c r="L26" s="32">
        <f>L24+L25</f>
        <v>21</v>
      </c>
    </row>
    <row r="27" spans="1:12" ht="14.25" customHeight="1" thickBot="1" x14ac:dyDescent="0.3">
      <c r="A27" s="7" t="s">
        <v>32</v>
      </c>
      <c r="B27" s="18"/>
      <c r="C27" s="19"/>
      <c r="D27" s="19"/>
      <c r="E27" s="2"/>
      <c r="F27" s="19"/>
      <c r="G27" s="19"/>
      <c r="H27" s="175"/>
      <c r="I27" s="19"/>
      <c r="J27" s="19"/>
      <c r="K27" s="19"/>
      <c r="L27" s="19"/>
    </row>
    <row r="28" spans="1:12" ht="14.25" customHeight="1" x14ac:dyDescent="0.25">
      <c r="A28" s="492" t="s">
        <v>15</v>
      </c>
      <c r="B28" s="493"/>
      <c r="C28" s="494"/>
      <c r="D28" s="480" t="s">
        <v>16</v>
      </c>
      <c r="E28" s="493"/>
      <c r="F28" s="494"/>
      <c r="G28" s="480" t="s">
        <v>33</v>
      </c>
      <c r="H28" s="493"/>
      <c r="I28" s="493"/>
      <c r="J28" s="494"/>
      <c r="K28" s="480" t="s">
        <v>34</v>
      </c>
      <c r="L28" s="481"/>
    </row>
    <row r="29" spans="1:12" ht="14.25" customHeight="1" x14ac:dyDescent="0.25">
      <c r="A29" s="495"/>
      <c r="B29" s="437"/>
      <c r="C29" s="472"/>
      <c r="D29" s="482"/>
      <c r="E29" s="437"/>
      <c r="F29" s="472"/>
      <c r="G29" s="482"/>
      <c r="H29" s="437"/>
      <c r="I29" s="437"/>
      <c r="J29" s="472"/>
      <c r="K29" s="482"/>
      <c r="L29" s="475"/>
    </row>
    <row r="30" spans="1:12" ht="14.25" customHeight="1" x14ac:dyDescent="0.25">
      <c r="A30" s="471" t="s">
        <v>49</v>
      </c>
      <c r="B30" s="437"/>
      <c r="C30" s="472"/>
      <c r="D30" s="473" t="s">
        <v>207</v>
      </c>
      <c r="E30" s="437"/>
      <c r="F30" s="472"/>
      <c r="G30" s="462" t="s">
        <v>76</v>
      </c>
      <c r="H30" s="463"/>
      <c r="I30" s="463"/>
      <c r="J30" s="464"/>
      <c r="K30" s="474">
        <v>8</v>
      </c>
      <c r="L30" s="475"/>
    </row>
    <row r="31" spans="1:12" ht="14.25" customHeight="1" x14ac:dyDescent="0.25">
      <c r="A31" s="476" t="s">
        <v>50</v>
      </c>
      <c r="B31" s="453"/>
      <c r="C31" s="477"/>
      <c r="D31" s="473" t="s">
        <v>207</v>
      </c>
      <c r="E31" s="437"/>
      <c r="F31" s="472"/>
      <c r="G31" s="465"/>
      <c r="H31" s="466"/>
      <c r="I31" s="466"/>
      <c r="J31" s="467"/>
      <c r="K31" s="478">
        <v>8</v>
      </c>
      <c r="L31" s="479"/>
    </row>
    <row r="32" spans="1:12" ht="14.25" customHeight="1" thickBot="1" x14ac:dyDescent="0.3">
      <c r="A32" s="454" t="s">
        <v>27</v>
      </c>
      <c r="B32" s="455"/>
      <c r="C32" s="456"/>
      <c r="D32" s="457" t="s">
        <v>208</v>
      </c>
      <c r="E32" s="458"/>
      <c r="F32" s="459"/>
      <c r="G32" s="468"/>
      <c r="H32" s="469"/>
      <c r="I32" s="469"/>
      <c r="J32" s="470"/>
      <c r="K32" s="460">
        <v>3</v>
      </c>
      <c r="L32" s="461"/>
    </row>
    <row r="33" spans="1:12" ht="14.25" customHeight="1" x14ac:dyDescent="0.25">
      <c r="A33" s="323"/>
      <c r="B33" s="323"/>
      <c r="C33" s="323"/>
      <c r="D33" s="10" t="s">
        <v>35</v>
      </c>
      <c r="E33" s="17"/>
      <c r="F33" s="11"/>
      <c r="G33" s="11"/>
      <c r="H33" s="173"/>
      <c r="I33" s="11"/>
      <c r="J33" s="20"/>
      <c r="K33" s="451">
        <f>SUM(K30:L32)</f>
        <v>19</v>
      </c>
      <c r="L33" s="437"/>
    </row>
    <row r="34" spans="1:12" ht="14.25" customHeight="1" x14ac:dyDescent="0.25">
      <c r="A34" s="323"/>
      <c r="B34" s="323"/>
      <c r="C34" s="323"/>
      <c r="D34" s="10" t="s">
        <v>36</v>
      </c>
      <c r="E34" s="17"/>
      <c r="F34" s="11"/>
      <c r="G34" s="11"/>
      <c r="H34" s="173"/>
      <c r="I34" s="11"/>
      <c r="K34" s="452">
        <f>L19+L26+K33</f>
        <v>43</v>
      </c>
      <c r="L34" s="453"/>
    </row>
    <row r="35" spans="1:12" ht="14.25" customHeight="1" thickBot="1" x14ac:dyDescent="0.3">
      <c r="A35" s="7" t="s">
        <v>37</v>
      </c>
      <c r="B35" s="19"/>
      <c r="D35" s="21"/>
      <c r="E35" s="22"/>
      <c r="F35" s="21"/>
      <c r="G35" s="21"/>
      <c r="H35" s="176"/>
      <c r="I35" s="21"/>
      <c r="J35" s="21"/>
      <c r="K35" s="23"/>
      <c r="L35" s="24"/>
    </row>
    <row r="36" spans="1:12" ht="14.25" customHeight="1" x14ac:dyDescent="0.25">
      <c r="A36" s="446" t="s">
        <v>13</v>
      </c>
      <c r="B36" s="448" t="s">
        <v>14</v>
      </c>
      <c r="C36" s="449"/>
      <c r="D36" s="448" t="s">
        <v>15</v>
      </c>
      <c r="E36" s="450" t="s">
        <v>16</v>
      </c>
      <c r="F36" s="448" t="s">
        <v>17</v>
      </c>
      <c r="G36" s="448" t="s">
        <v>18</v>
      </c>
      <c r="H36" s="441" t="s">
        <v>19</v>
      </c>
      <c r="I36" s="49" t="s">
        <v>20</v>
      </c>
      <c r="J36" s="49" t="s">
        <v>20</v>
      </c>
      <c r="K36" s="49" t="s">
        <v>21</v>
      </c>
      <c r="L36" s="50" t="s">
        <v>22</v>
      </c>
    </row>
    <row r="37" spans="1:12" ht="14.25" customHeight="1" thickBot="1" x14ac:dyDescent="0.3">
      <c r="A37" s="447"/>
      <c r="B37" s="442"/>
      <c r="C37" s="442"/>
      <c r="D37" s="442"/>
      <c r="E37" s="442"/>
      <c r="F37" s="442"/>
      <c r="G37" s="442"/>
      <c r="H37" s="442"/>
      <c r="I37" s="51" t="s">
        <v>23</v>
      </c>
      <c r="J37" s="51" t="s">
        <v>24</v>
      </c>
      <c r="K37" s="51" t="s">
        <v>25</v>
      </c>
      <c r="L37" s="52" t="s">
        <v>26</v>
      </c>
    </row>
    <row r="38" spans="1:12" s="86" customFormat="1" ht="21" customHeight="1" x14ac:dyDescent="0.25">
      <c r="A38" s="342" t="s">
        <v>205</v>
      </c>
      <c r="B38" s="443" t="s">
        <v>206</v>
      </c>
      <c r="C38" s="443"/>
      <c r="D38" s="343" t="s">
        <v>50</v>
      </c>
      <c r="E38" s="344" t="s">
        <v>79</v>
      </c>
      <c r="F38" s="345" t="s">
        <v>80</v>
      </c>
      <c r="G38" s="345" t="s">
        <v>174</v>
      </c>
      <c r="H38" s="345">
        <v>40</v>
      </c>
      <c r="I38" s="345">
        <v>3</v>
      </c>
      <c r="J38" s="345">
        <v>0</v>
      </c>
      <c r="K38" s="345">
        <v>3</v>
      </c>
      <c r="L38" s="346">
        <v>3</v>
      </c>
    </row>
    <row r="39" spans="1:12" s="86" customFormat="1" ht="21" customHeight="1" x14ac:dyDescent="0.25">
      <c r="A39" s="347" t="s">
        <v>205</v>
      </c>
      <c r="B39" s="444" t="s">
        <v>206</v>
      </c>
      <c r="C39" s="444"/>
      <c r="D39" s="348" t="s">
        <v>50</v>
      </c>
      <c r="E39" s="349" t="s">
        <v>81</v>
      </c>
      <c r="F39" s="116" t="s">
        <v>80</v>
      </c>
      <c r="G39" s="116" t="s">
        <v>175</v>
      </c>
      <c r="H39" s="116">
        <v>40</v>
      </c>
      <c r="I39" s="116">
        <v>3</v>
      </c>
      <c r="J39" s="116">
        <v>0</v>
      </c>
      <c r="K39" s="116">
        <v>3</v>
      </c>
      <c r="L39" s="350">
        <v>3</v>
      </c>
    </row>
    <row r="40" spans="1:12" s="86" customFormat="1" ht="21" customHeight="1" x14ac:dyDescent="0.25">
      <c r="A40" s="347" t="s">
        <v>205</v>
      </c>
      <c r="B40" s="444" t="s">
        <v>206</v>
      </c>
      <c r="C40" s="444"/>
      <c r="D40" s="348" t="s">
        <v>38</v>
      </c>
      <c r="E40" s="351" t="s">
        <v>82</v>
      </c>
      <c r="F40" s="116" t="s">
        <v>80</v>
      </c>
      <c r="G40" s="116" t="s">
        <v>176</v>
      </c>
      <c r="H40" s="116">
        <v>40</v>
      </c>
      <c r="I40" s="116">
        <v>3</v>
      </c>
      <c r="J40" s="116">
        <v>0</v>
      </c>
      <c r="K40" s="116">
        <v>3</v>
      </c>
      <c r="L40" s="350">
        <v>3</v>
      </c>
    </row>
    <row r="41" spans="1:12" s="86" customFormat="1" ht="25.5" customHeight="1" thickBot="1" x14ac:dyDescent="0.3">
      <c r="A41" s="352" t="s">
        <v>205</v>
      </c>
      <c r="B41" s="445" t="s">
        <v>206</v>
      </c>
      <c r="C41" s="445"/>
      <c r="D41" s="353" t="s">
        <v>50</v>
      </c>
      <c r="E41" s="354" t="s">
        <v>82</v>
      </c>
      <c r="F41" s="117" t="s">
        <v>80</v>
      </c>
      <c r="G41" s="117" t="s">
        <v>177</v>
      </c>
      <c r="H41" s="117">
        <v>40</v>
      </c>
      <c r="I41" s="117">
        <v>3</v>
      </c>
      <c r="J41" s="117">
        <v>0</v>
      </c>
      <c r="K41" s="117">
        <v>3</v>
      </c>
      <c r="L41" s="355">
        <v>3</v>
      </c>
    </row>
    <row r="42" spans="1:12" ht="14.25" customHeight="1" x14ac:dyDescent="0.25">
      <c r="A42" s="438"/>
      <c r="B42" s="439"/>
      <c r="C42" s="439"/>
      <c r="D42" s="134" t="s">
        <v>39</v>
      </c>
      <c r="E42" s="153"/>
      <c r="F42" s="137"/>
      <c r="G42" s="137"/>
      <c r="H42" s="187"/>
      <c r="I42" s="137"/>
      <c r="J42" s="137"/>
      <c r="K42" s="266">
        <f>SUM(K38:K41)</f>
        <v>12</v>
      </c>
      <c r="L42" s="266">
        <f>SUM(L38:L41)</f>
        <v>12</v>
      </c>
    </row>
    <row r="43" spans="1:12" ht="14.25" customHeight="1" x14ac:dyDescent="0.25">
      <c r="A43" s="133"/>
      <c r="B43" s="133"/>
      <c r="C43" s="133"/>
      <c r="D43" s="134" t="s">
        <v>40</v>
      </c>
      <c r="E43" s="135"/>
      <c r="F43" s="136"/>
      <c r="G43" s="136"/>
      <c r="H43" s="185"/>
      <c r="I43" s="136"/>
      <c r="J43" s="136"/>
      <c r="K43" s="266">
        <f>SUM(K19,K26,K42)</f>
        <v>12</v>
      </c>
      <c r="L43" s="266">
        <f>(L19+L26+K33+L42)</f>
        <v>55</v>
      </c>
    </row>
    <row r="44" spans="1:12" ht="7.5" customHeight="1" x14ac:dyDescent="0.25">
      <c r="A44" s="133"/>
      <c r="B44" s="133"/>
      <c r="C44" s="133"/>
      <c r="D44" s="134"/>
      <c r="E44" s="135"/>
      <c r="F44" s="136"/>
      <c r="G44" s="136"/>
      <c r="H44" s="185"/>
      <c r="I44" s="136"/>
      <c r="J44" s="136"/>
      <c r="K44" s="137"/>
      <c r="L44" s="137"/>
    </row>
    <row r="45" spans="1:12" ht="14.25" customHeight="1" x14ac:dyDescent="0.3">
      <c r="A45" s="440" t="s">
        <v>41</v>
      </c>
      <c r="B45" s="431"/>
      <c r="C45" s="431"/>
      <c r="D45" s="27"/>
      <c r="E45" s="27"/>
      <c r="F45" s="27"/>
      <c r="G45" s="27"/>
      <c r="H45" s="178" t="s">
        <v>42</v>
      </c>
      <c r="I45" s="6"/>
      <c r="J45" s="6"/>
      <c r="K45" s="6"/>
      <c r="L45" s="5"/>
    </row>
    <row r="46" spans="1:12" ht="14.25" customHeight="1" x14ac:dyDescent="0.25">
      <c r="A46" s="28"/>
      <c r="B46" s="28"/>
      <c r="C46" s="28"/>
      <c r="D46" s="20"/>
      <c r="E46" s="2"/>
      <c r="F46" s="20"/>
      <c r="G46" s="20"/>
      <c r="H46" s="179"/>
      <c r="I46" s="28"/>
      <c r="J46" s="28"/>
      <c r="K46" s="28"/>
      <c r="L46" s="28"/>
    </row>
    <row r="47" spans="1:12" ht="17.25" customHeight="1" x14ac:dyDescent="0.25">
      <c r="A47" s="432" t="s">
        <v>43</v>
      </c>
      <c r="B47" s="431"/>
      <c r="C47" s="431"/>
      <c r="D47" s="27"/>
      <c r="E47" s="27"/>
      <c r="F47" s="27"/>
      <c r="G47" s="27"/>
      <c r="H47" s="433" t="s">
        <v>44</v>
      </c>
      <c r="I47" s="434"/>
      <c r="J47" s="434"/>
      <c r="K47" s="434"/>
      <c r="L47" s="434"/>
    </row>
    <row r="48" spans="1:12" ht="18" customHeight="1" x14ac:dyDescent="0.25">
      <c r="A48" s="435" t="s">
        <v>45</v>
      </c>
      <c r="B48" s="431"/>
      <c r="C48" s="431"/>
      <c r="D48" s="27"/>
      <c r="E48" s="27"/>
      <c r="F48" s="27"/>
      <c r="G48" s="27"/>
      <c r="H48" s="435" t="s">
        <v>46</v>
      </c>
      <c r="I48" s="431"/>
      <c r="J48" s="431"/>
      <c r="K48" s="431"/>
      <c r="L48" s="431"/>
    </row>
    <row r="49" spans="1:12" ht="14.25" customHeight="1" x14ac:dyDescent="0.25">
      <c r="A49" s="20"/>
      <c r="B49" s="20"/>
      <c r="C49" s="20"/>
      <c r="D49" s="20"/>
      <c r="E49" s="2"/>
      <c r="F49" s="20"/>
      <c r="G49" s="20"/>
      <c r="H49" s="180"/>
      <c r="I49" s="20"/>
      <c r="J49" s="20"/>
      <c r="K49" s="20"/>
      <c r="L49" s="20"/>
    </row>
    <row r="50" spans="1:12" ht="14.25" customHeight="1" x14ac:dyDescent="0.25">
      <c r="A50" s="20"/>
      <c r="B50" s="20"/>
      <c r="D50" s="436" t="s">
        <v>192</v>
      </c>
      <c r="E50" s="437"/>
      <c r="F50" s="437"/>
      <c r="G50" s="437"/>
      <c r="H50" s="437"/>
      <c r="I50" s="437"/>
      <c r="J50" s="20"/>
      <c r="K50" s="20"/>
      <c r="L50" s="20"/>
    </row>
    <row r="51" spans="1:12" ht="11.25" customHeight="1" x14ac:dyDescent="0.25">
      <c r="C51" s="20"/>
      <c r="D51" s="433" t="s">
        <v>47</v>
      </c>
      <c r="E51" s="434"/>
      <c r="F51" s="434"/>
      <c r="G51" s="434"/>
      <c r="H51" s="434"/>
      <c r="I51" s="434"/>
      <c r="J51" s="20"/>
      <c r="K51" s="20"/>
      <c r="L51" s="20"/>
    </row>
    <row r="52" spans="1:12" ht="14.25" customHeight="1" x14ac:dyDescent="0.25">
      <c r="A52" s="10" t="s">
        <v>48</v>
      </c>
      <c r="B52" s="20"/>
      <c r="C52" s="20"/>
      <c r="D52" s="430"/>
      <c r="E52" s="431"/>
      <c r="F52" s="431"/>
      <c r="G52" s="431"/>
      <c r="H52" s="431"/>
      <c r="I52" s="431"/>
      <c r="J52" s="29"/>
      <c r="K52" s="20"/>
      <c r="L52" s="20"/>
    </row>
    <row r="53" spans="1:12" ht="14.25" customHeight="1" x14ac:dyDescent="0.25">
      <c r="E53" s="2"/>
    </row>
    <row r="54" spans="1:12" ht="14.25" customHeight="1" x14ac:dyDescent="0.25">
      <c r="E54" s="2"/>
    </row>
    <row r="55" spans="1:12" ht="14.25" customHeight="1" x14ac:dyDescent="0.25">
      <c r="E55" s="2"/>
    </row>
    <row r="56" spans="1:12" ht="14.25" customHeight="1" x14ac:dyDescent="0.25">
      <c r="E56" s="2"/>
    </row>
    <row r="57" spans="1:12" ht="14.25" customHeight="1" x14ac:dyDescent="0.25">
      <c r="E57" s="2"/>
    </row>
    <row r="58" spans="1:12" ht="14.25" customHeight="1" x14ac:dyDescent="0.25">
      <c r="E58" s="2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</sheetData>
  <mergeCells count="60">
    <mergeCell ref="B18:C18"/>
    <mergeCell ref="A7:L7"/>
    <mergeCell ref="A2:L2"/>
    <mergeCell ref="A3:L3"/>
    <mergeCell ref="A4:L4"/>
    <mergeCell ref="A5:L5"/>
    <mergeCell ref="A6:L6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K28:L29"/>
    <mergeCell ref="A24:C24"/>
    <mergeCell ref="B19:C19"/>
    <mergeCell ref="A22:A23"/>
    <mergeCell ref="B22:C23"/>
    <mergeCell ref="D22:D23"/>
    <mergeCell ref="E22:G23"/>
    <mergeCell ref="H22:H23"/>
    <mergeCell ref="A25:C25"/>
    <mergeCell ref="A28:C29"/>
    <mergeCell ref="D28:F29"/>
    <mergeCell ref="G28:J29"/>
    <mergeCell ref="K33:L33"/>
    <mergeCell ref="K34:L34"/>
    <mergeCell ref="A32:C32"/>
    <mergeCell ref="D32:F32"/>
    <mergeCell ref="K32:L32"/>
    <mergeCell ref="G30:J32"/>
    <mergeCell ref="A30:C30"/>
    <mergeCell ref="D30:F30"/>
    <mergeCell ref="K30:L30"/>
    <mergeCell ref="A31:C31"/>
    <mergeCell ref="D31:F31"/>
    <mergeCell ref="K31:L31"/>
    <mergeCell ref="A42:C42"/>
    <mergeCell ref="A45:C45"/>
    <mergeCell ref="H36:H37"/>
    <mergeCell ref="B38:C38"/>
    <mergeCell ref="B39:C39"/>
    <mergeCell ref="B40:C40"/>
    <mergeCell ref="B41:C41"/>
    <mergeCell ref="A36:A37"/>
    <mergeCell ref="B36:C37"/>
    <mergeCell ref="D36:D37"/>
    <mergeCell ref="E36:E37"/>
    <mergeCell ref="F36:F37"/>
    <mergeCell ref="G36:G37"/>
    <mergeCell ref="D52:I52"/>
    <mergeCell ref="A47:C47"/>
    <mergeCell ref="H47:L47"/>
    <mergeCell ref="A48:C48"/>
    <mergeCell ref="H48:L48"/>
    <mergeCell ref="D51:I51"/>
    <mergeCell ref="D50:I50"/>
  </mergeCells>
  <pageMargins left="0.5" right="0.25" top="0.25" bottom="0.25" header="0" footer="0"/>
  <pageSetup paperSize="5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997"/>
  <sheetViews>
    <sheetView topLeftCell="A28" zoomScale="115" zoomScaleNormal="115" workbookViewId="0">
      <selection activeCell="O42" sqref="O42"/>
    </sheetView>
  </sheetViews>
  <sheetFormatPr defaultColWidth="14.42578125" defaultRowHeight="15" customHeight="1" x14ac:dyDescent="0.25"/>
  <cols>
    <col min="1" max="1" width="10" style="99" customWidth="1"/>
    <col min="2" max="2" width="8.85546875" style="99" customWidth="1"/>
    <col min="3" max="3" width="16.7109375" style="99" customWidth="1"/>
    <col min="4" max="4" width="8" style="99" customWidth="1"/>
    <col min="5" max="5" width="16.85546875" style="99" customWidth="1"/>
    <col min="6" max="6" width="9.7109375" style="99" customWidth="1"/>
    <col min="7" max="7" width="10" style="99" customWidth="1"/>
    <col min="8" max="8" width="9.42578125" style="86" customWidth="1"/>
    <col min="9" max="12" width="5.85546875" style="99" customWidth="1"/>
    <col min="13" max="26" width="8.85546875" style="99" customWidth="1"/>
    <col min="27" max="16384" width="14.42578125" style="99"/>
  </cols>
  <sheetData>
    <row r="1" spans="1:12" ht="14.25" customHeight="1" x14ac:dyDescent="0.25">
      <c r="A1" s="102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103"/>
      <c r="B8" s="103"/>
      <c r="C8" s="103"/>
      <c r="D8" s="103"/>
      <c r="E8" s="4"/>
      <c r="F8" s="103"/>
      <c r="G8" s="103"/>
      <c r="H8" s="98"/>
      <c r="I8" s="103"/>
      <c r="J8" s="103"/>
      <c r="K8" s="103"/>
      <c r="L8" s="103"/>
    </row>
    <row r="9" spans="1:12" ht="20.25" customHeight="1" x14ac:dyDescent="0.3">
      <c r="A9" s="496" t="s">
        <v>126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22" ht="14.25" customHeight="1" x14ac:dyDescent="0.25">
      <c r="A17" s="504"/>
      <c r="B17" s="505"/>
      <c r="C17" s="505"/>
      <c r="D17" s="505"/>
      <c r="E17" s="505"/>
      <c r="F17" s="505"/>
      <c r="G17" s="505"/>
      <c r="H17" s="506"/>
      <c r="I17" s="89" t="s">
        <v>23</v>
      </c>
      <c r="J17" s="89" t="s">
        <v>24</v>
      </c>
      <c r="K17" s="89" t="s">
        <v>25</v>
      </c>
      <c r="L17" s="90" t="s">
        <v>26</v>
      </c>
    </row>
    <row r="18" spans="1:22" ht="14.25" customHeight="1" x14ac:dyDescent="0.25">
      <c r="A18" s="511" t="s">
        <v>115</v>
      </c>
      <c r="B18" s="512" t="s">
        <v>116</v>
      </c>
      <c r="C18" s="512"/>
      <c r="D18" s="113" t="s">
        <v>28</v>
      </c>
      <c r="E18" s="114" t="s">
        <v>79</v>
      </c>
      <c r="F18" s="390" t="s">
        <v>86</v>
      </c>
      <c r="G18" s="513" t="s">
        <v>172</v>
      </c>
      <c r="H18" s="513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22" ht="14.25" customHeight="1" x14ac:dyDescent="0.25">
      <c r="A19" s="511"/>
      <c r="B19" s="512"/>
      <c r="C19" s="512"/>
      <c r="D19" s="113" t="s">
        <v>38</v>
      </c>
      <c r="E19" s="114" t="s">
        <v>103</v>
      </c>
      <c r="F19" s="390">
        <v>20</v>
      </c>
      <c r="G19" s="513"/>
      <c r="H19" s="513"/>
      <c r="I19" s="513"/>
      <c r="J19" s="513"/>
      <c r="K19" s="513"/>
      <c r="L19" s="514"/>
    </row>
    <row r="20" spans="1:22" ht="14.25" customHeight="1" x14ac:dyDescent="0.25">
      <c r="A20" s="515" t="s">
        <v>115</v>
      </c>
      <c r="B20" s="517" t="s">
        <v>116</v>
      </c>
      <c r="C20" s="518"/>
      <c r="D20" s="119" t="s">
        <v>27</v>
      </c>
      <c r="E20" s="120" t="s">
        <v>82</v>
      </c>
      <c r="F20" s="261" t="s">
        <v>86</v>
      </c>
      <c r="G20" s="507" t="s">
        <v>173</v>
      </c>
      <c r="H20" s="507">
        <v>40</v>
      </c>
      <c r="I20" s="507">
        <v>2</v>
      </c>
      <c r="J20" s="507">
        <v>1</v>
      </c>
      <c r="K20" s="507">
        <v>3</v>
      </c>
      <c r="L20" s="509">
        <v>4</v>
      </c>
      <c r="N20" s="257"/>
      <c r="O20" s="257"/>
      <c r="P20" s="257"/>
      <c r="Q20" s="257"/>
      <c r="R20" s="257"/>
      <c r="S20" s="257"/>
      <c r="T20" s="257"/>
      <c r="U20" s="257"/>
      <c r="V20" s="257"/>
    </row>
    <row r="21" spans="1:22" ht="14.25" customHeight="1" thickBot="1" x14ac:dyDescent="0.3">
      <c r="A21" s="516"/>
      <c r="B21" s="519"/>
      <c r="C21" s="520"/>
      <c r="D21" s="405" t="s">
        <v>49</v>
      </c>
      <c r="E21" s="160" t="s">
        <v>92</v>
      </c>
      <c r="F21" s="263">
        <v>20</v>
      </c>
      <c r="G21" s="508"/>
      <c r="H21" s="508"/>
      <c r="I21" s="508"/>
      <c r="J21" s="508"/>
      <c r="K21" s="508"/>
      <c r="L21" s="510"/>
      <c r="N21" s="257"/>
      <c r="O21" s="257"/>
      <c r="P21" s="257"/>
      <c r="Q21" s="257"/>
      <c r="R21" s="257"/>
      <c r="S21" s="257"/>
      <c r="T21" s="257"/>
      <c r="U21" s="257"/>
      <c r="V21" s="257"/>
    </row>
    <row r="22" spans="1:22" ht="14.25" customHeight="1" x14ac:dyDescent="0.25">
      <c r="B22" s="523"/>
      <c r="C22" s="431"/>
      <c r="E22" s="4" t="s">
        <v>29</v>
      </c>
      <c r="F22" s="10"/>
      <c r="G22" s="10"/>
      <c r="H22" s="173"/>
      <c r="I22" s="11"/>
      <c r="J22" s="11"/>
      <c r="K22" s="12">
        <f>SUM(K18:K21)</f>
        <v>6</v>
      </c>
      <c r="L22" s="12">
        <f>SUM(L18:L21)</f>
        <v>9</v>
      </c>
      <c r="N22" s="257"/>
      <c r="O22" s="257"/>
      <c r="P22" s="257"/>
      <c r="Q22" s="257"/>
      <c r="R22" s="257"/>
      <c r="S22" s="257"/>
      <c r="T22" s="257"/>
      <c r="U22" s="257"/>
      <c r="V22" s="257"/>
    </row>
    <row r="23" spans="1:22" ht="14.25" customHeight="1" thickBot="1" x14ac:dyDescent="0.3">
      <c r="A23" s="7" t="s">
        <v>30</v>
      </c>
      <c r="B23" s="8"/>
      <c r="E23" s="2"/>
      <c r="N23" s="257"/>
      <c r="O23" s="257"/>
      <c r="P23" s="257"/>
      <c r="Q23" s="257"/>
      <c r="R23" s="257"/>
      <c r="S23" s="257"/>
      <c r="T23" s="257"/>
      <c r="U23" s="257"/>
      <c r="V23" s="257"/>
    </row>
    <row r="24" spans="1:22" ht="14.25" customHeight="1" x14ac:dyDescent="0.25">
      <c r="A24" s="524" t="s">
        <v>13</v>
      </c>
      <c r="B24" s="526" t="s">
        <v>14</v>
      </c>
      <c r="C24" s="527"/>
      <c r="D24" s="528" t="s">
        <v>15</v>
      </c>
      <c r="E24" s="526" t="s">
        <v>16</v>
      </c>
      <c r="F24" s="503"/>
      <c r="G24" s="527"/>
      <c r="H24" s="530" t="s">
        <v>19</v>
      </c>
      <c r="I24" s="13" t="s">
        <v>20</v>
      </c>
      <c r="J24" s="13" t="s">
        <v>20</v>
      </c>
      <c r="K24" s="13" t="s">
        <v>21</v>
      </c>
      <c r="L24" s="14" t="s">
        <v>22</v>
      </c>
      <c r="N24" s="257"/>
      <c r="O24" s="257"/>
      <c r="P24" s="257"/>
      <c r="Q24" s="257"/>
      <c r="R24" s="257"/>
      <c r="S24" s="257"/>
      <c r="T24" s="257"/>
      <c r="U24" s="257"/>
      <c r="V24" s="257"/>
    </row>
    <row r="25" spans="1:22" ht="14.25" customHeight="1" x14ac:dyDescent="0.25">
      <c r="A25" s="525"/>
      <c r="B25" s="482"/>
      <c r="C25" s="472"/>
      <c r="D25" s="529"/>
      <c r="E25" s="482"/>
      <c r="F25" s="437"/>
      <c r="G25" s="472"/>
      <c r="H25" s="531"/>
      <c r="I25" s="15" t="s">
        <v>23</v>
      </c>
      <c r="J25" s="15" t="s">
        <v>24</v>
      </c>
      <c r="K25" s="15" t="s">
        <v>25</v>
      </c>
      <c r="L25" s="16" t="s">
        <v>26</v>
      </c>
      <c r="N25" s="257"/>
      <c r="O25" s="257"/>
      <c r="P25" s="257"/>
      <c r="Q25" s="257"/>
      <c r="R25" s="257"/>
      <c r="S25" s="257"/>
      <c r="T25" s="257"/>
      <c r="U25" s="257"/>
      <c r="V25" s="257"/>
    </row>
    <row r="26" spans="1:22" ht="15" customHeight="1" thickBot="1" x14ac:dyDescent="0.3">
      <c r="A26" s="532" t="s">
        <v>268</v>
      </c>
      <c r="B26" s="533"/>
      <c r="C26" s="534"/>
      <c r="D26" s="195"/>
      <c r="E26" s="535"/>
      <c r="F26" s="536"/>
      <c r="G26" s="537"/>
      <c r="H26" s="196"/>
      <c r="I26" s="195"/>
      <c r="J26" s="195"/>
      <c r="K26" s="195"/>
      <c r="L26" s="197">
        <v>12</v>
      </c>
      <c r="N26" s="257"/>
      <c r="O26" s="257"/>
      <c r="P26" s="257"/>
      <c r="Q26" s="257"/>
      <c r="R26" s="257"/>
      <c r="S26" s="257"/>
      <c r="T26" s="257"/>
      <c r="U26" s="257"/>
      <c r="V26" s="257"/>
    </row>
    <row r="27" spans="1:22" ht="14.25" customHeight="1" x14ac:dyDescent="0.25">
      <c r="D27" s="10" t="s">
        <v>31</v>
      </c>
      <c r="E27" s="17"/>
      <c r="F27" s="11"/>
      <c r="G27" s="11"/>
      <c r="H27" s="173"/>
      <c r="I27" s="11"/>
      <c r="K27" s="32">
        <f t="shared" ref="K27:L27" si="0">SUM(K26)</f>
        <v>0</v>
      </c>
      <c r="L27" s="32">
        <f t="shared" si="0"/>
        <v>12</v>
      </c>
    </row>
    <row r="28" spans="1:22" ht="14.25" customHeight="1" thickBot="1" x14ac:dyDescent="0.3">
      <c r="A28" s="7" t="s">
        <v>32</v>
      </c>
      <c r="B28" s="18"/>
      <c r="C28" s="19"/>
      <c r="D28" s="19"/>
      <c r="E28" s="2"/>
      <c r="F28" s="19"/>
      <c r="G28" s="19"/>
      <c r="H28" s="175"/>
      <c r="I28" s="19"/>
      <c r="J28" s="19"/>
      <c r="K28" s="19"/>
      <c r="L28" s="19"/>
    </row>
    <row r="29" spans="1:22" ht="14.25" customHeight="1" x14ac:dyDescent="0.25">
      <c r="A29" s="492" t="s">
        <v>15</v>
      </c>
      <c r="B29" s="493"/>
      <c r="C29" s="494"/>
      <c r="D29" s="480" t="s">
        <v>16</v>
      </c>
      <c r="E29" s="493"/>
      <c r="F29" s="494"/>
      <c r="G29" s="480" t="s">
        <v>33</v>
      </c>
      <c r="H29" s="493"/>
      <c r="I29" s="493"/>
      <c r="J29" s="494"/>
      <c r="K29" s="480" t="s">
        <v>34</v>
      </c>
      <c r="L29" s="481"/>
    </row>
    <row r="30" spans="1:22" ht="14.25" customHeight="1" thickBot="1" x14ac:dyDescent="0.3">
      <c r="A30" s="538"/>
      <c r="B30" s="458"/>
      <c r="C30" s="459"/>
      <c r="D30" s="521"/>
      <c r="E30" s="458"/>
      <c r="F30" s="459"/>
      <c r="G30" s="521"/>
      <c r="H30" s="458"/>
      <c r="I30" s="458"/>
      <c r="J30" s="459"/>
      <c r="K30" s="521"/>
      <c r="L30" s="522"/>
    </row>
    <row r="31" spans="1:22" ht="14.25" customHeight="1" x14ac:dyDescent="0.25">
      <c r="A31" s="471" t="s">
        <v>49</v>
      </c>
      <c r="B31" s="437"/>
      <c r="C31" s="472"/>
      <c r="D31" s="473" t="s">
        <v>277</v>
      </c>
      <c r="E31" s="437"/>
      <c r="F31" s="472"/>
      <c r="G31" s="548" t="s">
        <v>269</v>
      </c>
      <c r="H31" s="549"/>
      <c r="I31" s="549"/>
      <c r="J31" s="550"/>
      <c r="K31" s="474">
        <v>7</v>
      </c>
      <c r="L31" s="475"/>
    </row>
    <row r="32" spans="1:22" ht="14.25" customHeight="1" x14ac:dyDescent="0.25">
      <c r="A32" s="476" t="s">
        <v>28</v>
      </c>
      <c r="B32" s="453"/>
      <c r="C32" s="477"/>
      <c r="D32" s="539" t="s">
        <v>73</v>
      </c>
      <c r="E32" s="453"/>
      <c r="F32" s="477"/>
      <c r="G32" s="465"/>
      <c r="H32" s="466"/>
      <c r="I32" s="466"/>
      <c r="J32" s="467"/>
      <c r="K32" s="478">
        <v>4</v>
      </c>
      <c r="L32" s="479"/>
    </row>
    <row r="33" spans="1:12" ht="14.25" customHeight="1" x14ac:dyDescent="0.25">
      <c r="A33" s="476" t="s">
        <v>27</v>
      </c>
      <c r="B33" s="453"/>
      <c r="C33" s="477"/>
      <c r="D33" s="539" t="s">
        <v>228</v>
      </c>
      <c r="E33" s="453"/>
      <c r="F33" s="477"/>
      <c r="G33" s="465"/>
      <c r="H33" s="466"/>
      <c r="I33" s="466"/>
      <c r="J33" s="467"/>
      <c r="K33" s="478">
        <v>5</v>
      </c>
      <c r="L33" s="479"/>
    </row>
    <row r="34" spans="1:12" ht="15.75" thickBot="1" x14ac:dyDescent="0.3">
      <c r="A34" s="454" t="s">
        <v>50</v>
      </c>
      <c r="B34" s="455"/>
      <c r="C34" s="456"/>
      <c r="D34" s="542" t="s">
        <v>270</v>
      </c>
      <c r="E34" s="455"/>
      <c r="F34" s="456"/>
      <c r="G34" s="468"/>
      <c r="H34" s="469"/>
      <c r="I34" s="469"/>
      <c r="J34" s="470"/>
      <c r="K34" s="460">
        <v>3</v>
      </c>
      <c r="L34" s="461"/>
    </row>
    <row r="35" spans="1:12" x14ac:dyDescent="0.25">
      <c r="A35" s="101"/>
      <c r="B35" s="101"/>
      <c r="C35" s="101"/>
      <c r="D35" s="10" t="s">
        <v>35</v>
      </c>
      <c r="E35" s="17"/>
      <c r="F35" s="11"/>
      <c r="G35" s="11"/>
      <c r="H35" s="173"/>
      <c r="I35" s="11"/>
      <c r="J35" s="20"/>
      <c r="K35" s="451">
        <f>SUM(K31:L34)</f>
        <v>19</v>
      </c>
      <c r="L35" s="437"/>
    </row>
    <row r="36" spans="1:12" x14ac:dyDescent="0.25">
      <c r="A36" s="101"/>
      <c r="B36" s="101"/>
      <c r="C36" s="101"/>
      <c r="D36" s="10" t="s">
        <v>36</v>
      </c>
      <c r="E36" s="17"/>
      <c r="F36" s="11"/>
      <c r="G36" s="11"/>
      <c r="H36" s="173"/>
      <c r="I36" s="11"/>
      <c r="K36" s="452">
        <f>L22+L27+K35</f>
        <v>40</v>
      </c>
      <c r="L36" s="453"/>
    </row>
    <row r="37" spans="1:12" ht="17.25" thickBot="1" x14ac:dyDescent="0.3">
      <c r="A37" s="7" t="s">
        <v>37</v>
      </c>
      <c r="B37" s="19"/>
      <c r="D37" s="21"/>
      <c r="E37" s="22"/>
      <c r="F37" s="21"/>
      <c r="G37" s="21"/>
      <c r="H37" s="176"/>
      <c r="I37" s="21"/>
      <c r="J37" s="21"/>
      <c r="K37" s="23"/>
      <c r="L37" s="24"/>
    </row>
    <row r="38" spans="1:12" x14ac:dyDescent="0.25">
      <c r="A38" s="544" t="s">
        <v>13</v>
      </c>
      <c r="B38" s="540" t="s">
        <v>14</v>
      </c>
      <c r="C38" s="546"/>
      <c r="D38" s="540" t="s">
        <v>15</v>
      </c>
      <c r="E38" s="547" t="s">
        <v>16</v>
      </c>
      <c r="F38" s="540" t="s">
        <v>17</v>
      </c>
      <c r="G38" s="540" t="s">
        <v>18</v>
      </c>
      <c r="H38" s="543" t="s">
        <v>19</v>
      </c>
      <c r="I38" s="70" t="s">
        <v>20</v>
      </c>
      <c r="J38" s="70" t="s">
        <v>20</v>
      </c>
      <c r="K38" s="70" t="s">
        <v>21</v>
      </c>
      <c r="L38" s="71" t="s">
        <v>22</v>
      </c>
    </row>
    <row r="39" spans="1:12" ht="15.75" thickBot="1" x14ac:dyDescent="0.3">
      <c r="A39" s="545"/>
      <c r="B39" s="541"/>
      <c r="C39" s="541"/>
      <c r="D39" s="541"/>
      <c r="E39" s="541"/>
      <c r="F39" s="541"/>
      <c r="G39" s="541"/>
      <c r="H39" s="541"/>
      <c r="I39" s="72" t="s">
        <v>23</v>
      </c>
      <c r="J39" s="72" t="s">
        <v>24</v>
      </c>
      <c r="K39" s="72" t="s">
        <v>25</v>
      </c>
      <c r="L39" s="73" t="s">
        <v>26</v>
      </c>
    </row>
    <row r="40" spans="1:12" x14ac:dyDescent="0.25">
      <c r="A40" s="554" t="s">
        <v>115</v>
      </c>
      <c r="B40" s="555" t="s">
        <v>116</v>
      </c>
      <c r="C40" s="555"/>
      <c r="D40" s="119" t="s">
        <v>27</v>
      </c>
      <c r="E40" s="120" t="s">
        <v>82</v>
      </c>
      <c r="F40" s="312" t="s">
        <v>86</v>
      </c>
      <c r="G40" s="553" t="s">
        <v>173</v>
      </c>
      <c r="H40" s="553">
        <v>40</v>
      </c>
      <c r="I40" s="553"/>
      <c r="J40" s="553"/>
      <c r="K40" s="553"/>
      <c r="L40" s="556">
        <v>1</v>
      </c>
    </row>
    <row r="41" spans="1:12" x14ac:dyDescent="0.25">
      <c r="A41" s="554"/>
      <c r="B41" s="555"/>
      <c r="C41" s="555"/>
      <c r="D41" s="402" t="s">
        <v>49</v>
      </c>
      <c r="E41" s="120" t="s">
        <v>92</v>
      </c>
      <c r="F41" s="312">
        <v>20</v>
      </c>
      <c r="G41" s="553"/>
      <c r="H41" s="553"/>
      <c r="I41" s="553"/>
      <c r="J41" s="553"/>
      <c r="K41" s="553"/>
      <c r="L41" s="556"/>
    </row>
    <row r="42" spans="1:12" s="385" customFormat="1" ht="24.75" customHeight="1" x14ac:dyDescent="0.25">
      <c r="A42" s="245" t="s">
        <v>131</v>
      </c>
      <c r="B42" s="557" t="s">
        <v>153</v>
      </c>
      <c r="C42" s="557"/>
      <c r="D42" s="398" t="s">
        <v>95</v>
      </c>
      <c r="E42" s="243" t="s">
        <v>164</v>
      </c>
      <c r="F42" s="398">
        <v>22</v>
      </c>
      <c r="G42" s="398" t="s">
        <v>165</v>
      </c>
      <c r="H42" s="398">
        <v>40</v>
      </c>
      <c r="I42" s="398">
        <v>3</v>
      </c>
      <c r="J42" s="398">
        <v>0</v>
      </c>
      <c r="K42" s="398">
        <v>3</v>
      </c>
      <c r="L42" s="246">
        <v>3</v>
      </c>
    </row>
    <row r="43" spans="1:12" ht="15" customHeight="1" x14ac:dyDescent="0.25">
      <c r="A43" s="511" t="s">
        <v>115</v>
      </c>
      <c r="B43" s="559" t="s">
        <v>116</v>
      </c>
      <c r="C43" s="560"/>
      <c r="D43" s="113" t="s">
        <v>27</v>
      </c>
      <c r="E43" s="114" t="s">
        <v>81</v>
      </c>
      <c r="F43" s="310" t="s">
        <v>86</v>
      </c>
      <c r="G43" s="513" t="s">
        <v>171</v>
      </c>
      <c r="H43" s="513">
        <v>40</v>
      </c>
      <c r="I43" s="513">
        <v>2</v>
      </c>
      <c r="J43" s="513">
        <v>1</v>
      </c>
      <c r="K43" s="513">
        <v>3</v>
      </c>
      <c r="L43" s="514">
        <v>5</v>
      </c>
    </row>
    <row r="44" spans="1:12" ht="14.25" customHeight="1" thickBot="1" x14ac:dyDescent="0.3">
      <c r="A44" s="558"/>
      <c r="B44" s="561"/>
      <c r="C44" s="562"/>
      <c r="D44" s="403" t="s">
        <v>50</v>
      </c>
      <c r="E44" s="125" t="s">
        <v>105</v>
      </c>
      <c r="F44" s="311">
        <v>20</v>
      </c>
      <c r="G44" s="551"/>
      <c r="H44" s="551"/>
      <c r="I44" s="551"/>
      <c r="J44" s="551"/>
      <c r="K44" s="551"/>
      <c r="L44" s="552"/>
    </row>
    <row r="45" spans="1:12" ht="14.25" customHeight="1" x14ac:dyDescent="0.25">
      <c r="A45" s="523"/>
      <c r="B45" s="431"/>
      <c r="C45" s="431"/>
      <c r="D45" s="4" t="s">
        <v>39</v>
      </c>
      <c r="E45" s="22"/>
      <c r="F45" s="21"/>
      <c r="G45" s="21"/>
      <c r="H45" s="176"/>
      <c r="I45" s="21"/>
      <c r="J45" s="21"/>
      <c r="K45" s="32">
        <f>SUM(K40:K44)</f>
        <v>6</v>
      </c>
      <c r="L45" s="32">
        <f>SUM(L40:L44)</f>
        <v>9</v>
      </c>
    </row>
    <row r="46" spans="1:12" ht="14.25" customHeight="1" x14ac:dyDescent="0.25">
      <c r="A46" s="20"/>
      <c r="B46" s="20"/>
      <c r="C46" s="20"/>
      <c r="D46" s="4" t="s">
        <v>40</v>
      </c>
      <c r="E46" s="25"/>
      <c r="F46" s="26"/>
      <c r="G46" s="26"/>
      <c r="H46" s="177"/>
      <c r="I46" s="26"/>
      <c r="J46" s="26"/>
      <c r="K46" s="32">
        <f>SUM(K22,K27,K45)</f>
        <v>12</v>
      </c>
      <c r="L46" s="32">
        <f>(L22+L27+K35+L45)</f>
        <v>49</v>
      </c>
    </row>
    <row r="47" spans="1:12" ht="3.75" customHeight="1" x14ac:dyDescent="0.25">
      <c r="A47" s="20"/>
      <c r="B47" s="20"/>
      <c r="C47" s="20"/>
      <c r="D47" s="4"/>
      <c r="E47" s="25"/>
      <c r="F47" s="26"/>
      <c r="G47" s="26"/>
      <c r="H47" s="177"/>
      <c r="I47" s="26"/>
      <c r="J47" s="26"/>
      <c r="K47" s="21"/>
      <c r="L47" s="21"/>
    </row>
    <row r="48" spans="1:12" ht="14.25" customHeight="1" x14ac:dyDescent="0.3">
      <c r="A48" s="440" t="s">
        <v>41</v>
      </c>
      <c r="B48" s="431"/>
      <c r="C48" s="431"/>
      <c r="D48" s="27"/>
      <c r="E48" s="27"/>
      <c r="F48" s="27"/>
      <c r="G48" s="27"/>
      <c r="H48" s="178" t="s">
        <v>42</v>
      </c>
      <c r="I48" s="6"/>
      <c r="J48" s="6"/>
      <c r="K48" s="6"/>
      <c r="L48" s="5"/>
    </row>
    <row r="49" spans="1:12" ht="14.25" customHeight="1" x14ac:dyDescent="0.25">
      <c r="A49" s="28"/>
      <c r="B49" s="28"/>
      <c r="C49" s="28"/>
      <c r="D49" s="20"/>
      <c r="E49" s="2"/>
      <c r="F49" s="20"/>
      <c r="G49" s="20"/>
      <c r="H49" s="179"/>
      <c r="I49" s="28"/>
      <c r="J49" s="28"/>
      <c r="K49" s="28"/>
      <c r="L49" s="28"/>
    </row>
    <row r="50" spans="1:12" ht="14.25" customHeight="1" x14ac:dyDescent="0.25">
      <c r="A50" s="432" t="s">
        <v>43</v>
      </c>
      <c r="B50" s="431"/>
      <c r="C50" s="431"/>
      <c r="D50" s="27"/>
      <c r="E50" s="27"/>
      <c r="F50" s="27"/>
      <c r="G50" s="27"/>
      <c r="H50" s="433" t="s">
        <v>44</v>
      </c>
      <c r="I50" s="434"/>
      <c r="J50" s="434"/>
      <c r="K50" s="434"/>
      <c r="L50" s="434"/>
    </row>
    <row r="51" spans="1:12" ht="14.25" customHeight="1" x14ac:dyDescent="0.25">
      <c r="A51" s="435" t="s">
        <v>45</v>
      </c>
      <c r="B51" s="431"/>
      <c r="C51" s="431"/>
      <c r="D51" s="27"/>
      <c r="E51" s="27"/>
      <c r="F51" s="27"/>
      <c r="G51" s="27"/>
      <c r="H51" s="435" t="s">
        <v>46</v>
      </c>
      <c r="I51" s="431"/>
      <c r="J51" s="431"/>
      <c r="K51" s="431"/>
      <c r="L51" s="431"/>
    </row>
    <row r="52" spans="1:12" ht="9.75" customHeight="1" x14ac:dyDescent="0.25">
      <c r="A52" s="20"/>
      <c r="B52" s="20"/>
      <c r="C52" s="20"/>
      <c r="D52" s="20"/>
      <c r="E52" s="2"/>
      <c r="F52" s="20"/>
      <c r="G52" s="20"/>
      <c r="H52" s="180"/>
      <c r="I52" s="20"/>
      <c r="J52" s="20"/>
      <c r="K52" s="20"/>
      <c r="L52" s="20"/>
    </row>
    <row r="53" spans="1:12" ht="18" customHeight="1" x14ac:dyDescent="0.25">
      <c r="A53" s="20"/>
      <c r="B53" s="20"/>
      <c r="D53" s="436" t="s">
        <v>192</v>
      </c>
      <c r="E53" s="437"/>
      <c r="F53" s="437"/>
      <c r="G53" s="437"/>
      <c r="H53" s="437"/>
      <c r="I53" s="437"/>
      <c r="J53" s="20"/>
      <c r="K53" s="20"/>
      <c r="L53" s="20"/>
    </row>
    <row r="54" spans="1:12" ht="14.25" customHeight="1" x14ac:dyDescent="0.25">
      <c r="C54" s="20"/>
      <c r="D54" s="433" t="s">
        <v>47</v>
      </c>
      <c r="E54" s="434"/>
      <c r="F54" s="434"/>
      <c r="G54" s="434"/>
      <c r="H54" s="434"/>
      <c r="I54" s="434"/>
      <c r="J54" s="20"/>
      <c r="K54" s="20"/>
      <c r="L54" s="20"/>
    </row>
    <row r="55" spans="1:12" ht="14.25" customHeight="1" x14ac:dyDescent="0.25">
      <c r="A55" s="10" t="s">
        <v>48</v>
      </c>
      <c r="B55" s="20"/>
      <c r="C55" s="20"/>
      <c r="D55" s="430"/>
      <c r="E55" s="431"/>
      <c r="F55" s="431"/>
      <c r="G55" s="431"/>
      <c r="H55" s="431"/>
      <c r="I55" s="431"/>
      <c r="J55" s="29"/>
      <c r="K55" s="20"/>
      <c r="L55" s="20"/>
    </row>
    <row r="56" spans="1:12" ht="2.25" customHeight="1" x14ac:dyDescent="0.25">
      <c r="A56" s="564"/>
      <c r="B56" s="431"/>
      <c r="C56" s="431"/>
      <c r="D56" s="100"/>
      <c r="E56" s="31"/>
      <c r="F56" s="100"/>
      <c r="G56" s="100"/>
      <c r="H56" s="181"/>
      <c r="I56" s="563"/>
      <c r="J56" s="431"/>
      <c r="K56" s="563"/>
      <c r="L56" s="431"/>
    </row>
    <row r="57" spans="1:12" ht="14.25" customHeight="1" x14ac:dyDescent="0.25">
      <c r="E57" s="2"/>
      <c r="H57" s="99"/>
    </row>
    <row r="58" spans="1:12" ht="14.25" customHeight="1" x14ac:dyDescent="0.25">
      <c r="E58" s="2"/>
      <c r="H58" s="99"/>
    </row>
    <row r="59" spans="1:12" ht="14.25" customHeight="1" x14ac:dyDescent="0.25">
      <c r="E59" s="2"/>
      <c r="H59" s="99"/>
    </row>
    <row r="60" spans="1:12" ht="14.25" customHeight="1" x14ac:dyDescent="0.25">
      <c r="E60" s="2"/>
      <c r="H60" s="99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</sheetData>
  <mergeCells count="94">
    <mergeCell ref="J43:J44"/>
    <mergeCell ref="K56:L56"/>
    <mergeCell ref="A45:C45"/>
    <mergeCell ref="A48:C48"/>
    <mergeCell ref="A50:C50"/>
    <mergeCell ref="H50:L50"/>
    <mergeCell ref="A51:C51"/>
    <mergeCell ref="H51:L51"/>
    <mergeCell ref="D53:I53"/>
    <mergeCell ref="D54:I54"/>
    <mergeCell ref="D55:I55"/>
    <mergeCell ref="A56:C56"/>
    <mergeCell ref="I56:J56"/>
    <mergeCell ref="K43:K44"/>
    <mergeCell ref="L43:L44"/>
    <mergeCell ref="J40:J41"/>
    <mergeCell ref="H43:H44"/>
    <mergeCell ref="A40:A41"/>
    <mergeCell ref="B40:C41"/>
    <mergeCell ref="G40:G41"/>
    <mergeCell ref="I40:I41"/>
    <mergeCell ref="H40:H41"/>
    <mergeCell ref="K40:K41"/>
    <mergeCell ref="L40:L41"/>
    <mergeCell ref="B42:C42"/>
    <mergeCell ref="A43:A44"/>
    <mergeCell ref="B43:C44"/>
    <mergeCell ref="G43:G44"/>
    <mergeCell ref="I43:I44"/>
    <mergeCell ref="F38:F39"/>
    <mergeCell ref="G38:G39"/>
    <mergeCell ref="K36:L36"/>
    <mergeCell ref="A33:C33"/>
    <mergeCell ref="D33:F33"/>
    <mergeCell ref="K33:L33"/>
    <mergeCell ref="A34:C34"/>
    <mergeCell ref="D34:F34"/>
    <mergeCell ref="K34:L34"/>
    <mergeCell ref="K35:L35"/>
    <mergeCell ref="H38:H39"/>
    <mergeCell ref="A38:A39"/>
    <mergeCell ref="B38:C39"/>
    <mergeCell ref="D38:D39"/>
    <mergeCell ref="E38:E39"/>
    <mergeCell ref="G31:J34"/>
    <mergeCell ref="A31:C31"/>
    <mergeCell ref="D31:F31"/>
    <mergeCell ref="K31:L31"/>
    <mergeCell ref="A32:C32"/>
    <mergeCell ref="D32:F32"/>
    <mergeCell ref="K32:L32"/>
    <mergeCell ref="K29:L30"/>
    <mergeCell ref="B22:C22"/>
    <mergeCell ref="A24:A25"/>
    <mergeCell ref="B24:C25"/>
    <mergeCell ref="D24:D25"/>
    <mergeCell ref="E24:G25"/>
    <mergeCell ref="H24:H25"/>
    <mergeCell ref="A26:C26"/>
    <mergeCell ref="E26:G26"/>
    <mergeCell ref="A29:C30"/>
    <mergeCell ref="D29:F30"/>
    <mergeCell ref="G29:J30"/>
    <mergeCell ref="K20:K21"/>
    <mergeCell ref="L20:L21"/>
    <mergeCell ref="A18:A19"/>
    <mergeCell ref="B18:C19"/>
    <mergeCell ref="G18:G19"/>
    <mergeCell ref="I18:I19"/>
    <mergeCell ref="J18:J19"/>
    <mergeCell ref="K18:K19"/>
    <mergeCell ref="H18:H19"/>
    <mergeCell ref="H20:H21"/>
    <mergeCell ref="L18:L19"/>
    <mergeCell ref="A20:A21"/>
    <mergeCell ref="B20:C21"/>
    <mergeCell ref="G20:G21"/>
    <mergeCell ref="I20:I21"/>
    <mergeCell ref="J20:J21"/>
    <mergeCell ref="A7:L7"/>
    <mergeCell ref="A2:L2"/>
    <mergeCell ref="A3:L3"/>
    <mergeCell ref="A4:L4"/>
    <mergeCell ref="A5:L5"/>
    <mergeCell ref="A6:L6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</mergeCells>
  <pageMargins left="0.5" right="0.25" top="0.25" bottom="0.25" header="0" footer="0"/>
  <pageSetup paperSize="5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opLeftCell="A33" zoomScale="115" zoomScaleNormal="115" workbookViewId="0">
      <selection activeCell="B47" sqref="B47:C48"/>
    </sheetView>
  </sheetViews>
  <sheetFormatPr defaultColWidth="14.42578125" defaultRowHeight="15" customHeight="1" x14ac:dyDescent="0.25"/>
  <cols>
    <col min="1" max="1" width="10" style="280" customWidth="1"/>
    <col min="2" max="2" width="8.85546875" style="280" customWidth="1"/>
    <col min="3" max="3" width="16.7109375" style="280" customWidth="1"/>
    <col min="4" max="4" width="8" style="280" customWidth="1"/>
    <col min="5" max="5" width="16.85546875" style="280" customWidth="1"/>
    <col min="6" max="6" width="9.7109375" style="280" customWidth="1"/>
    <col min="7" max="7" width="10" style="280" customWidth="1"/>
    <col min="8" max="8" width="9.42578125" style="86" customWidth="1"/>
    <col min="9" max="12" width="5.85546875" style="280" customWidth="1"/>
    <col min="13" max="26" width="8.85546875" style="280" customWidth="1"/>
    <col min="27" max="16384" width="14.42578125" style="280"/>
  </cols>
  <sheetData>
    <row r="1" spans="1:14" ht="14.25" customHeight="1" x14ac:dyDescent="0.25">
      <c r="A1" s="283" t="s">
        <v>0</v>
      </c>
      <c r="E1" s="2"/>
    </row>
    <row r="2" spans="1:14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4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4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4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4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4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4" ht="9.75" customHeight="1" x14ac:dyDescent="0.25">
      <c r="A8" s="281"/>
      <c r="B8" s="281"/>
      <c r="C8" s="281"/>
      <c r="D8" s="281"/>
      <c r="E8" s="4"/>
      <c r="F8" s="281"/>
      <c r="G8" s="281"/>
      <c r="H8" s="284"/>
      <c r="I8" s="281"/>
      <c r="J8" s="281"/>
      <c r="K8" s="281"/>
      <c r="L8" s="281"/>
    </row>
    <row r="9" spans="1:14" ht="20.25" customHeight="1" x14ac:dyDescent="0.3">
      <c r="A9" s="496" t="s">
        <v>297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4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4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4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4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4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N14" s="298"/>
    </row>
    <row r="15" spans="1:14" ht="14.25" customHeight="1" thickBot="1" x14ac:dyDescent="0.3">
      <c r="A15" s="7" t="s">
        <v>12</v>
      </c>
      <c r="B15" s="8"/>
      <c r="E15" s="2"/>
    </row>
    <row r="16" spans="1:14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2" ht="27" customHeight="1" x14ac:dyDescent="0.25">
      <c r="A18" s="420" t="s">
        <v>117</v>
      </c>
      <c r="B18" s="621" t="s">
        <v>118</v>
      </c>
      <c r="C18" s="621"/>
      <c r="D18" s="126" t="s">
        <v>50</v>
      </c>
      <c r="E18" s="127" t="s">
        <v>79</v>
      </c>
      <c r="F18" s="418" t="s">
        <v>80</v>
      </c>
      <c r="G18" s="418" t="s">
        <v>183</v>
      </c>
      <c r="H18" s="418">
        <v>40</v>
      </c>
      <c r="I18" s="418">
        <v>3</v>
      </c>
      <c r="J18" s="418">
        <v>0</v>
      </c>
      <c r="K18" s="418">
        <v>3</v>
      </c>
      <c r="L18" s="419">
        <v>3</v>
      </c>
    </row>
    <row r="19" spans="1:12" ht="14.25" customHeight="1" x14ac:dyDescent="0.25">
      <c r="A19" s="511" t="s">
        <v>283</v>
      </c>
      <c r="B19" s="623" t="s">
        <v>284</v>
      </c>
      <c r="C19" s="623"/>
      <c r="D19" s="763" t="s">
        <v>28</v>
      </c>
      <c r="E19" s="114" t="s">
        <v>285</v>
      </c>
      <c r="F19" s="413" t="s">
        <v>110</v>
      </c>
      <c r="G19" s="513" t="s">
        <v>176</v>
      </c>
      <c r="H19" s="513">
        <v>40</v>
      </c>
      <c r="I19" s="513">
        <v>2</v>
      </c>
      <c r="J19" s="513">
        <v>1</v>
      </c>
      <c r="K19" s="513">
        <v>3</v>
      </c>
      <c r="L19" s="514">
        <v>5</v>
      </c>
    </row>
    <row r="20" spans="1:12" s="407" customFormat="1" ht="14.25" customHeight="1" x14ac:dyDescent="0.25">
      <c r="A20" s="511"/>
      <c r="B20" s="623"/>
      <c r="C20" s="623"/>
      <c r="D20" s="763" t="s">
        <v>38</v>
      </c>
      <c r="E20" s="114" t="s">
        <v>107</v>
      </c>
      <c r="F20" s="413">
        <v>20</v>
      </c>
      <c r="G20" s="513"/>
      <c r="H20" s="513"/>
      <c r="I20" s="513"/>
      <c r="J20" s="513"/>
      <c r="K20" s="513"/>
      <c r="L20" s="514"/>
    </row>
    <row r="21" spans="1:12" ht="14.25" customHeight="1" x14ac:dyDescent="0.25">
      <c r="A21" s="674" t="s">
        <v>283</v>
      </c>
      <c r="B21" s="767" t="s">
        <v>284</v>
      </c>
      <c r="C21" s="767"/>
      <c r="D21" s="224" t="s">
        <v>38</v>
      </c>
      <c r="E21" s="225" t="s">
        <v>81</v>
      </c>
      <c r="F21" s="428" t="s">
        <v>110</v>
      </c>
      <c r="G21" s="676" t="s">
        <v>175</v>
      </c>
      <c r="H21" s="676">
        <v>40</v>
      </c>
      <c r="I21" s="676">
        <v>2</v>
      </c>
      <c r="J21" s="676">
        <v>1</v>
      </c>
      <c r="K21" s="676">
        <v>3</v>
      </c>
      <c r="L21" s="677">
        <v>5</v>
      </c>
    </row>
    <row r="22" spans="1:12" s="407" customFormat="1" ht="14.25" customHeight="1" x14ac:dyDescent="0.25">
      <c r="A22" s="674"/>
      <c r="B22" s="767"/>
      <c r="C22" s="767"/>
      <c r="D22" s="224" t="s">
        <v>49</v>
      </c>
      <c r="E22" s="225" t="s">
        <v>103</v>
      </c>
      <c r="F22" s="428">
        <v>20</v>
      </c>
      <c r="G22" s="676"/>
      <c r="H22" s="676"/>
      <c r="I22" s="676"/>
      <c r="J22" s="676"/>
      <c r="K22" s="676"/>
      <c r="L22" s="677"/>
    </row>
    <row r="23" spans="1:12" s="407" customFormat="1" ht="14.25" customHeight="1" x14ac:dyDescent="0.25">
      <c r="A23" s="511" t="s">
        <v>283</v>
      </c>
      <c r="B23" s="623" t="s">
        <v>284</v>
      </c>
      <c r="C23" s="623"/>
      <c r="D23" s="763" t="s">
        <v>28</v>
      </c>
      <c r="E23" s="114" t="s">
        <v>88</v>
      </c>
      <c r="F23" s="413" t="s">
        <v>110</v>
      </c>
      <c r="G23" s="513" t="s">
        <v>174</v>
      </c>
      <c r="H23" s="513">
        <v>40</v>
      </c>
      <c r="I23" s="513">
        <v>2</v>
      </c>
      <c r="J23" s="513">
        <v>1</v>
      </c>
      <c r="K23" s="513">
        <v>3</v>
      </c>
      <c r="L23" s="514">
        <v>5</v>
      </c>
    </row>
    <row r="24" spans="1:12" s="407" customFormat="1" ht="14.25" customHeight="1" x14ac:dyDescent="0.25">
      <c r="A24" s="511"/>
      <c r="B24" s="623"/>
      <c r="C24" s="623"/>
      <c r="D24" s="113" t="s">
        <v>27</v>
      </c>
      <c r="E24" s="114" t="s">
        <v>92</v>
      </c>
      <c r="F24" s="413">
        <v>20</v>
      </c>
      <c r="G24" s="513"/>
      <c r="H24" s="513"/>
      <c r="I24" s="513"/>
      <c r="J24" s="513"/>
      <c r="K24" s="513"/>
      <c r="L24" s="514"/>
    </row>
    <row r="25" spans="1:12" ht="14.1" customHeight="1" x14ac:dyDescent="0.25">
      <c r="A25" s="554" t="s">
        <v>283</v>
      </c>
      <c r="B25" s="717" t="s">
        <v>284</v>
      </c>
      <c r="C25" s="717"/>
      <c r="D25" s="119" t="s">
        <v>38</v>
      </c>
      <c r="E25" s="120" t="s">
        <v>111</v>
      </c>
      <c r="F25" s="417" t="s">
        <v>110</v>
      </c>
      <c r="G25" s="553" t="s">
        <v>177</v>
      </c>
      <c r="H25" s="553">
        <v>40</v>
      </c>
      <c r="I25" s="553">
        <v>2</v>
      </c>
      <c r="J25" s="553">
        <v>1</v>
      </c>
      <c r="K25" s="553">
        <v>3</v>
      </c>
      <c r="L25" s="556">
        <v>3</v>
      </c>
    </row>
    <row r="26" spans="1:12" ht="14.1" customHeight="1" thickBot="1" x14ac:dyDescent="0.3">
      <c r="A26" s="606"/>
      <c r="B26" s="718"/>
      <c r="C26" s="718"/>
      <c r="D26" s="159" t="s">
        <v>49</v>
      </c>
      <c r="E26" s="160" t="s">
        <v>87</v>
      </c>
      <c r="F26" s="421">
        <v>20</v>
      </c>
      <c r="G26" s="605"/>
      <c r="H26" s="605"/>
      <c r="I26" s="605"/>
      <c r="J26" s="605"/>
      <c r="K26" s="605"/>
      <c r="L26" s="609"/>
    </row>
    <row r="27" spans="1:12" ht="14.25" customHeight="1" x14ac:dyDescent="0.25">
      <c r="A27" s="407"/>
      <c r="B27" s="523"/>
      <c r="C27" s="523"/>
      <c r="D27" s="407"/>
      <c r="E27" s="4" t="s">
        <v>29</v>
      </c>
      <c r="F27" s="10"/>
      <c r="G27" s="10"/>
      <c r="H27" s="173"/>
      <c r="I27" s="11"/>
      <c r="J27" s="11"/>
      <c r="K27" s="12">
        <f>SUM(K18:K26)</f>
        <v>15</v>
      </c>
      <c r="L27" s="12">
        <f>SUM(L18:L26)</f>
        <v>21</v>
      </c>
    </row>
    <row r="28" spans="1:12" ht="14.25" customHeight="1" thickBot="1" x14ac:dyDescent="0.3">
      <c r="A28" s="7" t="s">
        <v>30</v>
      </c>
      <c r="B28" s="8"/>
      <c r="C28" s="407"/>
      <c r="D28" s="407"/>
      <c r="E28" s="2"/>
      <c r="F28" s="407"/>
      <c r="G28" s="407"/>
      <c r="I28" s="407"/>
      <c r="J28" s="407"/>
      <c r="K28" s="407"/>
      <c r="L28" s="407"/>
    </row>
    <row r="29" spans="1:12" ht="14.25" customHeight="1" x14ac:dyDescent="0.25">
      <c r="A29" s="567" t="s">
        <v>13</v>
      </c>
      <c r="B29" s="480" t="s">
        <v>14</v>
      </c>
      <c r="C29" s="494"/>
      <c r="D29" s="571" t="s">
        <v>15</v>
      </c>
      <c r="E29" s="480" t="s">
        <v>16</v>
      </c>
      <c r="F29" s="493"/>
      <c r="G29" s="494"/>
      <c r="H29" s="574" t="s">
        <v>19</v>
      </c>
      <c r="I29" s="65" t="s">
        <v>20</v>
      </c>
      <c r="J29" s="65" t="s">
        <v>20</v>
      </c>
      <c r="K29" s="65" t="s">
        <v>21</v>
      </c>
      <c r="L29" s="66" t="s">
        <v>22</v>
      </c>
    </row>
    <row r="30" spans="1:12" ht="14.25" customHeight="1" x14ac:dyDescent="0.25">
      <c r="A30" s="568"/>
      <c r="B30" s="569"/>
      <c r="C30" s="570"/>
      <c r="D30" s="572"/>
      <c r="E30" s="569"/>
      <c r="F30" s="573"/>
      <c r="G30" s="570"/>
      <c r="H30" s="575"/>
      <c r="I30" s="294" t="s">
        <v>23</v>
      </c>
      <c r="J30" s="294" t="s">
        <v>24</v>
      </c>
      <c r="K30" s="294" t="s">
        <v>25</v>
      </c>
      <c r="L30" s="295" t="s">
        <v>26</v>
      </c>
    </row>
    <row r="31" spans="1:12" ht="14.25" customHeight="1" thickBot="1" x14ac:dyDescent="0.3">
      <c r="A31" s="576"/>
      <c r="B31" s="577"/>
      <c r="C31" s="577"/>
      <c r="D31" s="296"/>
      <c r="E31" s="577"/>
      <c r="F31" s="577"/>
      <c r="G31" s="577"/>
      <c r="H31" s="293"/>
      <c r="I31" s="296"/>
      <c r="J31" s="296"/>
      <c r="K31" s="296"/>
      <c r="L31" s="250"/>
    </row>
    <row r="32" spans="1:12" ht="14.25" customHeight="1" x14ac:dyDescent="0.25">
      <c r="D32" s="10" t="s">
        <v>31</v>
      </c>
      <c r="E32" s="17"/>
      <c r="F32" s="11"/>
      <c r="G32" s="11"/>
      <c r="H32" s="173"/>
      <c r="I32" s="11"/>
      <c r="K32" s="32">
        <f t="shared" ref="K32:L32" si="0">SUM(K31)</f>
        <v>0</v>
      </c>
      <c r="L32" s="32">
        <f t="shared" si="0"/>
        <v>0</v>
      </c>
    </row>
    <row r="33" spans="1:12" ht="14.25" customHeight="1" thickBot="1" x14ac:dyDescent="0.3">
      <c r="A33" s="7" t="s">
        <v>32</v>
      </c>
      <c r="B33" s="18"/>
      <c r="C33" s="19"/>
      <c r="D33" s="19"/>
      <c r="E33" s="2"/>
      <c r="F33" s="19"/>
      <c r="G33" s="19"/>
      <c r="H33" s="175"/>
      <c r="I33" s="19"/>
      <c r="J33" s="19"/>
      <c r="K33" s="19"/>
      <c r="L33" s="19"/>
    </row>
    <row r="34" spans="1:12" ht="14.25" customHeight="1" x14ac:dyDescent="0.25">
      <c r="A34" s="492" t="s">
        <v>15</v>
      </c>
      <c r="B34" s="493"/>
      <c r="C34" s="494"/>
      <c r="D34" s="480" t="s">
        <v>16</v>
      </c>
      <c r="E34" s="493"/>
      <c r="F34" s="494"/>
      <c r="G34" s="480" t="s">
        <v>33</v>
      </c>
      <c r="H34" s="493"/>
      <c r="I34" s="493"/>
      <c r="J34" s="494"/>
      <c r="K34" s="480" t="s">
        <v>34</v>
      </c>
      <c r="L34" s="481"/>
    </row>
    <row r="35" spans="1:12" ht="14.25" customHeight="1" thickBot="1" x14ac:dyDescent="0.3">
      <c r="A35" s="538"/>
      <c r="B35" s="458"/>
      <c r="C35" s="459"/>
      <c r="D35" s="521"/>
      <c r="E35" s="458"/>
      <c r="F35" s="459"/>
      <c r="G35" s="521"/>
      <c r="H35" s="458"/>
      <c r="I35" s="458"/>
      <c r="J35" s="459"/>
      <c r="K35" s="521"/>
      <c r="L35" s="522"/>
    </row>
    <row r="36" spans="1:12" ht="14.25" customHeight="1" x14ac:dyDescent="0.25">
      <c r="A36" s="471" t="s">
        <v>49</v>
      </c>
      <c r="B36" s="437"/>
      <c r="C36" s="472"/>
      <c r="D36" s="473" t="s">
        <v>293</v>
      </c>
      <c r="E36" s="437"/>
      <c r="F36" s="472"/>
      <c r="G36" s="465" t="s">
        <v>75</v>
      </c>
      <c r="H36" s="466"/>
      <c r="I36" s="466"/>
      <c r="J36" s="467"/>
      <c r="K36" s="474">
        <v>4</v>
      </c>
      <c r="L36" s="475"/>
    </row>
    <row r="37" spans="1:12" ht="14.25" customHeight="1" x14ac:dyDescent="0.25">
      <c r="A37" s="476" t="s">
        <v>28</v>
      </c>
      <c r="B37" s="453"/>
      <c r="C37" s="477"/>
      <c r="D37" s="473" t="s">
        <v>294</v>
      </c>
      <c r="E37" s="437"/>
      <c r="F37" s="472"/>
      <c r="G37" s="465"/>
      <c r="H37" s="466"/>
      <c r="I37" s="466"/>
      <c r="J37" s="467"/>
      <c r="K37" s="478">
        <v>5</v>
      </c>
      <c r="L37" s="479"/>
    </row>
    <row r="38" spans="1:12" ht="14.25" customHeight="1" x14ac:dyDescent="0.25">
      <c r="A38" s="476" t="s">
        <v>27</v>
      </c>
      <c r="B38" s="453"/>
      <c r="C38" s="477"/>
      <c r="D38" s="473" t="s">
        <v>295</v>
      </c>
      <c r="E38" s="437"/>
      <c r="F38" s="472"/>
      <c r="G38" s="465"/>
      <c r="H38" s="466"/>
      <c r="I38" s="466"/>
      <c r="J38" s="467"/>
      <c r="K38" s="478">
        <v>5</v>
      </c>
      <c r="L38" s="479"/>
    </row>
    <row r="39" spans="1:12" ht="13.5" customHeight="1" thickBot="1" x14ac:dyDescent="0.3">
      <c r="A39" s="454" t="s">
        <v>50</v>
      </c>
      <c r="B39" s="455"/>
      <c r="C39" s="456"/>
      <c r="D39" s="542" t="s">
        <v>296</v>
      </c>
      <c r="E39" s="455"/>
      <c r="F39" s="456"/>
      <c r="G39" s="468"/>
      <c r="H39" s="469"/>
      <c r="I39" s="469"/>
      <c r="J39" s="470"/>
      <c r="K39" s="460">
        <v>5</v>
      </c>
      <c r="L39" s="461"/>
    </row>
    <row r="40" spans="1:12" ht="14.25" customHeight="1" x14ac:dyDescent="0.25">
      <c r="A40" s="285"/>
      <c r="B40" s="285"/>
      <c r="C40" s="285"/>
      <c r="D40" s="10" t="s">
        <v>35</v>
      </c>
      <c r="E40" s="17"/>
      <c r="F40" s="11"/>
      <c r="G40" s="11"/>
      <c r="H40" s="173"/>
      <c r="I40" s="11"/>
      <c r="J40" s="20"/>
      <c r="K40" s="451">
        <f>SUM(K36:L39)</f>
        <v>19</v>
      </c>
      <c r="L40" s="437"/>
    </row>
    <row r="41" spans="1:12" ht="14.25" customHeight="1" x14ac:dyDescent="0.25">
      <c r="A41" s="285"/>
      <c r="B41" s="285"/>
      <c r="C41" s="285"/>
      <c r="D41" s="10" t="s">
        <v>36</v>
      </c>
      <c r="E41" s="17"/>
      <c r="F41" s="11"/>
      <c r="G41" s="11"/>
      <c r="H41" s="173"/>
      <c r="I41" s="11"/>
      <c r="K41" s="433">
        <f>L27+L32+K40</f>
        <v>40</v>
      </c>
      <c r="L41" s="434"/>
    </row>
    <row r="42" spans="1:12" ht="17.25" thickBot="1" x14ac:dyDescent="0.3">
      <c r="A42" s="193" t="s">
        <v>37</v>
      </c>
      <c r="B42" s="152"/>
      <c r="C42" s="282"/>
      <c r="D42" s="137"/>
      <c r="E42" s="153"/>
      <c r="F42" s="137"/>
      <c r="G42" s="137"/>
      <c r="H42" s="187"/>
      <c r="I42" s="137"/>
      <c r="J42" s="137"/>
      <c r="K42" s="154"/>
      <c r="L42" s="194"/>
    </row>
    <row r="43" spans="1:12" x14ac:dyDescent="0.25">
      <c r="A43" s="446" t="s">
        <v>13</v>
      </c>
      <c r="B43" s="448" t="s">
        <v>14</v>
      </c>
      <c r="C43" s="565"/>
      <c r="D43" s="448" t="s">
        <v>15</v>
      </c>
      <c r="E43" s="448" t="s">
        <v>16</v>
      </c>
      <c r="F43" s="448" t="s">
        <v>17</v>
      </c>
      <c r="G43" s="448" t="s">
        <v>18</v>
      </c>
      <c r="H43" s="441" t="s">
        <v>19</v>
      </c>
      <c r="I43" s="49" t="s">
        <v>20</v>
      </c>
      <c r="J43" s="49" t="s">
        <v>20</v>
      </c>
      <c r="K43" s="49" t="s">
        <v>21</v>
      </c>
      <c r="L43" s="50" t="s">
        <v>22</v>
      </c>
    </row>
    <row r="44" spans="1:12" ht="15.75" thickBot="1" x14ac:dyDescent="0.3">
      <c r="A44" s="655"/>
      <c r="B44" s="650"/>
      <c r="C44" s="650"/>
      <c r="D44" s="650"/>
      <c r="E44" s="650"/>
      <c r="F44" s="650"/>
      <c r="G44" s="650"/>
      <c r="H44" s="650"/>
      <c r="I44" s="51" t="s">
        <v>23</v>
      </c>
      <c r="J44" s="51" t="s">
        <v>24</v>
      </c>
      <c r="K44" s="51" t="s">
        <v>25</v>
      </c>
      <c r="L44" s="52" t="s">
        <v>26</v>
      </c>
    </row>
    <row r="45" spans="1:12" ht="15" customHeight="1" x14ac:dyDescent="0.25">
      <c r="A45" s="681" t="s">
        <v>283</v>
      </c>
      <c r="B45" s="768" t="s">
        <v>284</v>
      </c>
      <c r="C45" s="768"/>
      <c r="D45" s="769" t="s">
        <v>38</v>
      </c>
      <c r="E45" s="192" t="s">
        <v>111</v>
      </c>
      <c r="F45" s="427" t="s">
        <v>110</v>
      </c>
      <c r="G45" s="669" t="s">
        <v>177</v>
      </c>
      <c r="H45" s="669">
        <v>40</v>
      </c>
      <c r="I45" s="669"/>
      <c r="J45" s="669"/>
      <c r="K45" s="669"/>
      <c r="L45" s="671">
        <v>2</v>
      </c>
    </row>
    <row r="46" spans="1:12" ht="15" customHeight="1" x14ac:dyDescent="0.25">
      <c r="A46" s="554"/>
      <c r="B46" s="717"/>
      <c r="C46" s="717"/>
      <c r="D46" s="119" t="s">
        <v>49</v>
      </c>
      <c r="E46" s="120" t="s">
        <v>87</v>
      </c>
      <c r="F46" s="417">
        <v>20</v>
      </c>
      <c r="G46" s="553"/>
      <c r="H46" s="553"/>
      <c r="I46" s="553"/>
      <c r="J46" s="553"/>
      <c r="K46" s="553"/>
      <c r="L46" s="556"/>
    </row>
    <row r="47" spans="1:12" s="407" customFormat="1" ht="15" customHeight="1" x14ac:dyDescent="0.25">
      <c r="A47" s="511" t="s">
        <v>121</v>
      </c>
      <c r="B47" s="512" t="s">
        <v>122</v>
      </c>
      <c r="C47" s="512"/>
      <c r="D47" s="763" t="s">
        <v>50</v>
      </c>
      <c r="E47" s="114" t="s">
        <v>111</v>
      </c>
      <c r="F47" s="413" t="s">
        <v>110</v>
      </c>
      <c r="G47" s="513" t="s">
        <v>177</v>
      </c>
      <c r="H47" s="513">
        <v>40</v>
      </c>
      <c r="I47" s="513">
        <v>2</v>
      </c>
      <c r="J47" s="513">
        <v>1</v>
      </c>
      <c r="K47" s="513">
        <v>3</v>
      </c>
      <c r="L47" s="514">
        <v>5</v>
      </c>
    </row>
    <row r="48" spans="1:12" s="407" customFormat="1" ht="15" customHeight="1" thickBot="1" x14ac:dyDescent="0.3">
      <c r="A48" s="558"/>
      <c r="B48" s="653"/>
      <c r="C48" s="653"/>
      <c r="D48" s="124" t="s">
        <v>50</v>
      </c>
      <c r="E48" s="766" t="s">
        <v>105</v>
      </c>
      <c r="F48" s="414">
        <v>20</v>
      </c>
      <c r="G48" s="551"/>
      <c r="H48" s="551"/>
      <c r="I48" s="551"/>
      <c r="J48" s="551"/>
      <c r="K48" s="551"/>
      <c r="L48" s="552"/>
    </row>
    <row r="49" spans="1:12" x14ac:dyDescent="0.25">
      <c r="A49" s="438"/>
      <c r="B49" s="439"/>
      <c r="C49" s="439"/>
      <c r="D49" s="134" t="s">
        <v>39</v>
      </c>
      <c r="E49" s="153"/>
      <c r="F49" s="137"/>
      <c r="G49" s="137"/>
      <c r="H49" s="187"/>
      <c r="I49" s="137"/>
      <c r="J49" s="137"/>
      <c r="K49" s="266">
        <f>SUM(K45:K48)</f>
        <v>3</v>
      </c>
      <c r="L49" s="266">
        <f>SUM(L45:L48)</f>
        <v>7</v>
      </c>
    </row>
    <row r="50" spans="1:12" x14ac:dyDescent="0.25">
      <c r="A50" s="20"/>
      <c r="B50" s="20"/>
      <c r="C50" s="20"/>
      <c r="D50" s="4" t="s">
        <v>40</v>
      </c>
      <c r="E50" s="25"/>
      <c r="F50" s="26"/>
      <c r="G50" s="26"/>
      <c r="H50" s="177"/>
      <c r="I50" s="26"/>
      <c r="J50" s="26"/>
      <c r="K50" s="32">
        <f>SUM(K28,K33,K49)</f>
        <v>3</v>
      </c>
      <c r="L50" s="32">
        <f>(L27+L32+K40+L49)</f>
        <v>47</v>
      </c>
    </row>
    <row r="51" spans="1:12" ht="16.5" x14ac:dyDescent="0.3">
      <c r="A51" s="440" t="s">
        <v>41</v>
      </c>
      <c r="B51" s="431"/>
      <c r="C51" s="431"/>
      <c r="D51" s="27"/>
      <c r="E51" s="27"/>
      <c r="F51" s="27"/>
      <c r="G51" s="27"/>
      <c r="H51" s="178" t="s">
        <v>42</v>
      </c>
      <c r="I51" s="6"/>
      <c r="J51" s="6"/>
      <c r="K51" s="6"/>
      <c r="L51" s="5"/>
    </row>
    <row r="52" spans="1:12" x14ac:dyDescent="0.25">
      <c r="A52" s="28"/>
      <c r="B52" s="28"/>
      <c r="C52" s="28"/>
      <c r="D52" s="20"/>
      <c r="E52" s="2"/>
      <c r="F52" s="20"/>
      <c r="G52" s="20"/>
      <c r="H52" s="179"/>
      <c r="I52" s="28"/>
      <c r="J52" s="28"/>
      <c r="K52" s="28"/>
      <c r="L52" s="28"/>
    </row>
    <row r="53" spans="1:12" ht="14.25" customHeight="1" x14ac:dyDescent="0.25">
      <c r="A53" s="432" t="s">
        <v>43</v>
      </c>
      <c r="B53" s="431"/>
      <c r="C53" s="431"/>
      <c r="D53" s="27"/>
      <c r="E53" s="27"/>
      <c r="F53" s="27"/>
      <c r="G53" s="27"/>
      <c r="H53" s="433" t="s">
        <v>44</v>
      </c>
      <c r="I53" s="434"/>
      <c r="J53" s="434"/>
      <c r="K53" s="434"/>
      <c r="L53" s="434"/>
    </row>
    <row r="54" spans="1:12" ht="14.25" customHeight="1" x14ac:dyDescent="0.25">
      <c r="A54" s="435" t="s">
        <v>202</v>
      </c>
      <c r="B54" s="431"/>
      <c r="C54" s="431"/>
      <c r="D54" s="27"/>
      <c r="E54" s="27"/>
      <c r="F54" s="27"/>
      <c r="G54" s="27"/>
      <c r="H54" s="435" t="s">
        <v>46</v>
      </c>
      <c r="I54" s="431"/>
      <c r="J54" s="431"/>
      <c r="K54" s="431"/>
      <c r="L54" s="431"/>
    </row>
    <row r="55" spans="1:12" x14ac:dyDescent="0.25">
      <c r="A55" s="20"/>
      <c r="B55" s="20"/>
      <c r="C55" s="20"/>
      <c r="D55" s="20"/>
      <c r="E55" s="2"/>
      <c r="F55" s="20"/>
      <c r="G55" s="20"/>
      <c r="H55" s="180"/>
      <c r="I55" s="20"/>
      <c r="J55" s="20"/>
      <c r="K55" s="20"/>
      <c r="L55" s="20"/>
    </row>
    <row r="56" spans="1:12" ht="18" customHeight="1" x14ac:dyDescent="0.25">
      <c r="A56" s="20"/>
      <c r="B56" s="20"/>
      <c r="D56" s="436" t="s">
        <v>192</v>
      </c>
      <c r="E56" s="437"/>
      <c r="F56" s="437"/>
      <c r="G56" s="437"/>
      <c r="H56" s="437"/>
      <c r="I56" s="437"/>
      <c r="J56" s="20"/>
      <c r="K56" s="20"/>
      <c r="L56" s="20"/>
    </row>
    <row r="57" spans="1:12" ht="14.25" customHeight="1" x14ac:dyDescent="0.25">
      <c r="C57" s="20"/>
      <c r="D57" s="433" t="s">
        <v>47</v>
      </c>
      <c r="E57" s="434"/>
      <c r="F57" s="434"/>
      <c r="G57" s="434"/>
      <c r="H57" s="434"/>
      <c r="I57" s="434"/>
      <c r="J57" s="20"/>
      <c r="K57" s="20"/>
      <c r="L57" s="20"/>
    </row>
    <row r="58" spans="1:12" ht="14.25" customHeight="1" x14ac:dyDescent="0.25">
      <c r="A58" s="10" t="s">
        <v>48</v>
      </c>
      <c r="B58" s="20"/>
      <c r="C58" s="20"/>
      <c r="D58" s="430"/>
      <c r="E58" s="431"/>
      <c r="F58" s="431"/>
      <c r="G58" s="431"/>
      <c r="H58" s="431"/>
      <c r="I58" s="431"/>
      <c r="J58" s="29"/>
      <c r="K58" s="20"/>
      <c r="L58" s="20"/>
    </row>
    <row r="59" spans="1:12" ht="2.25" customHeight="1" x14ac:dyDescent="0.25">
      <c r="A59" s="564"/>
      <c r="B59" s="431"/>
      <c r="C59" s="431"/>
      <c r="D59" s="287"/>
      <c r="E59" s="31"/>
      <c r="F59" s="287"/>
      <c r="G59" s="287"/>
      <c r="H59" s="181"/>
      <c r="I59" s="563"/>
      <c r="J59" s="431"/>
      <c r="K59" s="563"/>
      <c r="L59" s="431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  <row r="998" spans="5:5" ht="14.25" customHeight="1" x14ac:dyDescent="0.25">
      <c r="E998" s="2"/>
    </row>
    <row r="999" spans="5:5" ht="14.25" customHeight="1" x14ac:dyDescent="0.25">
      <c r="E999" s="2"/>
    </row>
    <row r="1000" spans="5:5" ht="14.25" customHeight="1" x14ac:dyDescent="0.25">
      <c r="E1000" s="2"/>
    </row>
  </sheetData>
  <mergeCells count="110">
    <mergeCell ref="J45:J46"/>
    <mergeCell ref="K45:K46"/>
    <mergeCell ref="L45:L46"/>
    <mergeCell ref="A47:A48"/>
    <mergeCell ref="B47:C48"/>
    <mergeCell ref="G47:G48"/>
    <mergeCell ref="H47:H48"/>
    <mergeCell ref="I47:I48"/>
    <mergeCell ref="J47:J48"/>
    <mergeCell ref="K47:K48"/>
    <mergeCell ref="L47:L48"/>
    <mergeCell ref="A45:A46"/>
    <mergeCell ref="B45:C46"/>
    <mergeCell ref="G45:G46"/>
    <mergeCell ref="H45:H46"/>
    <mergeCell ref="I45:I46"/>
    <mergeCell ref="J23:J24"/>
    <mergeCell ref="K23:K24"/>
    <mergeCell ref="L23:L24"/>
    <mergeCell ref="A25:A26"/>
    <mergeCell ref="B25:C26"/>
    <mergeCell ref="G25:G26"/>
    <mergeCell ref="H25:H26"/>
    <mergeCell ref="I25:I26"/>
    <mergeCell ref="J25:J26"/>
    <mergeCell ref="K25:K26"/>
    <mergeCell ref="L25:L26"/>
    <mergeCell ref="A23:A24"/>
    <mergeCell ref="B23:C24"/>
    <mergeCell ref="G23:G24"/>
    <mergeCell ref="H23:H24"/>
    <mergeCell ref="I23:I24"/>
    <mergeCell ref="J19:J20"/>
    <mergeCell ref="K19:K20"/>
    <mergeCell ref="L19:L20"/>
    <mergeCell ref="A21:A22"/>
    <mergeCell ref="B21:C22"/>
    <mergeCell ref="G21:G22"/>
    <mergeCell ref="H21:H22"/>
    <mergeCell ref="I21:I22"/>
    <mergeCell ref="J21:J22"/>
    <mergeCell ref="K21:K22"/>
    <mergeCell ref="L21:L22"/>
    <mergeCell ref="A19:A20"/>
    <mergeCell ref="B19:C20"/>
    <mergeCell ref="G19:G20"/>
    <mergeCell ref="H19:H20"/>
    <mergeCell ref="I19:I20"/>
    <mergeCell ref="B18:C18"/>
    <mergeCell ref="H16:H17"/>
    <mergeCell ref="A2:L2"/>
    <mergeCell ref="A3:L3"/>
    <mergeCell ref="A4:L4"/>
    <mergeCell ref="A5:L5"/>
    <mergeCell ref="A6:L6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K34:L35"/>
    <mergeCell ref="B27:C27"/>
    <mergeCell ref="A29:A30"/>
    <mergeCell ref="B29:C30"/>
    <mergeCell ref="D29:D30"/>
    <mergeCell ref="E29:G30"/>
    <mergeCell ref="H29:H30"/>
    <mergeCell ref="A31:C31"/>
    <mergeCell ref="E31:G31"/>
    <mergeCell ref="A34:C35"/>
    <mergeCell ref="D34:F35"/>
    <mergeCell ref="G34:J35"/>
    <mergeCell ref="K36:L36"/>
    <mergeCell ref="A37:C37"/>
    <mergeCell ref="D37:F37"/>
    <mergeCell ref="K37:L37"/>
    <mergeCell ref="A38:C38"/>
    <mergeCell ref="D38:F38"/>
    <mergeCell ref="K38:L38"/>
    <mergeCell ref="A36:C36"/>
    <mergeCell ref="D36:F36"/>
    <mergeCell ref="G36:J39"/>
    <mergeCell ref="A39:C39"/>
    <mergeCell ref="D39:F39"/>
    <mergeCell ref="K39:L39"/>
    <mergeCell ref="K40:L40"/>
    <mergeCell ref="D43:D44"/>
    <mergeCell ref="E43:E44"/>
    <mergeCell ref="F43:F44"/>
    <mergeCell ref="G43:G44"/>
    <mergeCell ref="H43:H44"/>
    <mergeCell ref="A59:C59"/>
    <mergeCell ref="I59:J59"/>
    <mergeCell ref="K59:L59"/>
    <mergeCell ref="A49:C49"/>
    <mergeCell ref="A51:C51"/>
    <mergeCell ref="A53:C53"/>
    <mergeCell ref="H53:L53"/>
    <mergeCell ref="A54:C54"/>
    <mergeCell ref="H54:L54"/>
    <mergeCell ref="D56:I56"/>
    <mergeCell ref="D57:I57"/>
    <mergeCell ref="D58:I58"/>
    <mergeCell ref="K41:L41"/>
    <mergeCell ref="A43:A44"/>
    <mergeCell ref="B43:C44"/>
  </mergeCells>
  <pageMargins left="0.5" right="0.25" top="0.25" bottom="0.25" header="0" footer="0"/>
  <pageSetup paperSize="5" scale="8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96"/>
  <sheetViews>
    <sheetView topLeftCell="A28" zoomScale="115" zoomScaleNormal="115" workbookViewId="0">
      <selection activeCell="B41" sqref="B41:C42"/>
    </sheetView>
  </sheetViews>
  <sheetFormatPr defaultColWidth="14.42578125" defaultRowHeight="15" customHeight="1" x14ac:dyDescent="0.25"/>
  <cols>
    <col min="1" max="1" width="10" customWidth="1"/>
    <col min="2" max="2" width="8.85546875" customWidth="1"/>
    <col min="3" max="3" width="16.7109375" customWidth="1"/>
    <col min="4" max="4" width="8" customWidth="1"/>
    <col min="5" max="5" width="16.85546875" customWidth="1"/>
    <col min="6" max="6" width="9.7109375" customWidth="1"/>
    <col min="7" max="7" width="10" customWidth="1"/>
    <col min="8" max="8" width="9.42578125" style="86" customWidth="1"/>
    <col min="9" max="12" width="5.85546875" customWidth="1"/>
    <col min="13" max="26" width="8.85546875" customWidth="1"/>
  </cols>
  <sheetData>
    <row r="1" spans="1:12" ht="14.25" customHeight="1" x14ac:dyDescent="0.25">
      <c r="A1" s="1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"/>
      <c r="B8" s="3"/>
      <c r="C8" s="3"/>
      <c r="D8" s="3"/>
      <c r="E8" s="4"/>
      <c r="F8" s="3"/>
      <c r="G8" s="3"/>
      <c r="H8" s="98"/>
      <c r="I8" s="3"/>
      <c r="J8" s="3"/>
      <c r="K8" s="3"/>
      <c r="L8" s="3"/>
    </row>
    <row r="9" spans="1:12" ht="20.25" customHeight="1" x14ac:dyDescent="0.3">
      <c r="A9" s="496" t="s">
        <v>78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x14ac:dyDescent="0.25">
      <c r="A18" s="511" t="s">
        <v>84</v>
      </c>
      <c r="B18" s="587" t="s">
        <v>85</v>
      </c>
      <c r="C18" s="587"/>
      <c r="D18" s="113" t="s">
        <v>49</v>
      </c>
      <c r="E18" s="114" t="s">
        <v>81</v>
      </c>
      <c r="F18" s="112" t="s">
        <v>86</v>
      </c>
      <c r="G18" s="513" t="s">
        <v>171</v>
      </c>
      <c r="H18" s="603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12" ht="14.25" customHeight="1" x14ac:dyDescent="0.25">
      <c r="A19" s="511"/>
      <c r="B19" s="587"/>
      <c r="C19" s="587"/>
      <c r="D19" s="113" t="s">
        <v>28</v>
      </c>
      <c r="E19" s="114" t="s">
        <v>87</v>
      </c>
      <c r="F19" s="112">
        <v>20</v>
      </c>
      <c r="G19" s="513"/>
      <c r="H19" s="604"/>
      <c r="I19" s="513"/>
      <c r="J19" s="513"/>
      <c r="K19" s="513"/>
      <c r="L19" s="514"/>
    </row>
    <row r="20" spans="1:12" s="99" customFormat="1" ht="14.25" customHeight="1" x14ac:dyDescent="0.25">
      <c r="A20" s="554" t="s">
        <v>84</v>
      </c>
      <c r="B20" s="585" t="s">
        <v>85</v>
      </c>
      <c r="C20" s="585"/>
      <c r="D20" s="119" t="s">
        <v>38</v>
      </c>
      <c r="E20" s="120" t="s">
        <v>81</v>
      </c>
      <c r="F20" s="121" t="s">
        <v>86</v>
      </c>
      <c r="G20" s="553" t="s">
        <v>172</v>
      </c>
      <c r="H20" s="581">
        <v>40</v>
      </c>
      <c r="I20" s="553">
        <v>2</v>
      </c>
      <c r="J20" s="553">
        <v>1</v>
      </c>
      <c r="K20" s="553">
        <v>3</v>
      </c>
      <c r="L20" s="556">
        <v>4</v>
      </c>
    </row>
    <row r="21" spans="1:12" s="99" customFormat="1" ht="14.25" customHeight="1" thickBot="1" x14ac:dyDescent="0.3">
      <c r="A21" s="606"/>
      <c r="B21" s="607"/>
      <c r="C21" s="607"/>
      <c r="D21" s="159" t="s">
        <v>38</v>
      </c>
      <c r="E21" s="160" t="s">
        <v>87</v>
      </c>
      <c r="F21" s="161">
        <v>20</v>
      </c>
      <c r="G21" s="605"/>
      <c r="H21" s="608"/>
      <c r="I21" s="605"/>
      <c r="J21" s="605"/>
      <c r="K21" s="605"/>
      <c r="L21" s="609"/>
    </row>
    <row r="22" spans="1:12" ht="14.25" customHeight="1" x14ac:dyDescent="0.25">
      <c r="B22" s="523"/>
      <c r="C22" s="431"/>
      <c r="E22" s="4" t="s">
        <v>29</v>
      </c>
      <c r="F22" s="10"/>
      <c r="G22" s="10"/>
      <c r="H22" s="173"/>
      <c r="I22" s="11"/>
      <c r="J22" s="11"/>
      <c r="K22" s="12">
        <f>SUM(K18:K21)</f>
        <v>6</v>
      </c>
      <c r="L22" s="12">
        <f>SUM(L18:L21)</f>
        <v>9</v>
      </c>
    </row>
    <row r="23" spans="1:12" ht="14.25" customHeight="1" thickBot="1" x14ac:dyDescent="0.3">
      <c r="A23" s="7" t="s">
        <v>30</v>
      </c>
      <c r="B23" s="8"/>
      <c r="E23" s="2"/>
    </row>
    <row r="24" spans="1:12" ht="14.25" customHeight="1" x14ac:dyDescent="0.25">
      <c r="A24" s="524" t="s">
        <v>13</v>
      </c>
      <c r="B24" s="526" t="s">
        <v>14</v>
      </c>
      <c r="C24" s="527"/>
      <c r="D24" s="528" t="s">
        <v>15</v>
      </c>
      <c r="E24" s="526" t="s">
        <v>16</v>
      </c>
      <c r="F24" s="503"/>
      <c r="G24" s="527"/>
      <c r="H24" s="530" t="s">
        <v>19</v>
      </c>
      <c r="I24" s="13" t="s">
        <v>20</v>
      </c>
      <c r="J24" s="13" t="s">
        <v>20</v>
      </c>
      <c r="K24" s="13" t="s">
        <v>21</v>
      </c>
      <c r="L24" s="14" t="s">
        <v>22</v>
      </c>
    </row>
    <row r="25" spans="1:12" ht="14.25" customHeight="1" x14ac:dyDescent="0.25">
      <c r="A25" s="525"/>
      <c r="B25" s="482"/>
      <c r="C25" s="472"/>
      <c r="D25" s="529"/>
      <c r="E25" s="482"/>
      <c r="F25" s="437"/>
      <c r="G25" s="472"/>
      <c r="H25" s="531"/>
      <c r="I25" s="15" t="s">
        <v>23</v>
      </c>
      <c r="J25" s="15" t="s">
        <v>24</v>
      </c>
      <c r="K25" s="15" t="s">
        <v>25</v>
      </c>
      <c r="L25" s="16" t="s">
        <v>26</v>
      </c>
    </row>
    <row r="26" spans="1:12" ht="15.75" thickBot="1" x14ac:dyDescent="0.3">
      <c r="A26" s="595" t="s">
        <v>83</v>
      </c>
      <c r="B26" s="596"/>
      <c r="C26" s="597"/>
      <c r="D26" s="45"/>
      <c r="E26" s="598"/>
      <c r="F26" s="599"/>
      <c r="G26" s="600"/>
      <c r="H26" s="174"/>
      <c r="I26" s="45"/>
      <c r="J26" s="45"/>
      <c r="K26" s="45"/>
      <c r="L26" s="46">
        <v>12</v>
      </c>
    </row>
    <row r="27" spans="1:12" ht="14.25" customHeight="1" x14ac:dyDescent="0.25">
      <c r="D27" s="10" t="s">
        <v>31</v>
      </c>
      <c r="E27" s="17"/>
      <c r="F27" s="11"/>
      <c r="G27" s="11"/>
      <c r="H27" s="173"/>
      <c r="I27" s="11"/>
      <c r="K27" s="32">
        <f t="shared" ref="K27:L27" si="0">SUM(K26)</f>
        <v>0</v>
      </c>
      <c r="L27" s="32">
        <f t="shared" si="0"/>
        <v>12</v>
      </c>
    </row>
    <row r="28" spans="1:12" ht="14.25" customHeight="1" thickBot="1" x14ac:dyDescent="0.3">
      <c r="A28" s="7" t="s">
        <v>32</v>
      </c>
      <c r="B28" s="18"/>
      <c r="C28" s="19"/>
      <c r="D28" s="19"/>
      <c r="E28" s="2"/>
      <c r="F28" s="19"/>
      <c r="G28" s="19"/>
      <c r="H28" s="175"/>
      <c r="I28" s="19"/>
      <c r="J28" s="19"/>
      <c r="K28" s="19"/>
      <c r="L28" s="19"/>
    </row>
    <row r="29" spans="1:12" ht="14.25" customHeight="1" x14ac:dyDescent="0.25">
      <c r="A29" s="492" t="s">
        <v>15</v>
      </c>
      <c r="B29" s="493"/>
      <c r="C29" s="494"/>
      <c r="D29" s="480" t="s">
        <v>16</v>
      </c>
      <c r="E29" s="493"/>
      <c r="F29" s="494"/>
      <c r="G29" s="480" t="s">
        <v>33</v>
      </c>
      <c r="H29" s="493"/>
      <c r="I29" s="493"/>
      <c r="J29" s="494"/>
      <c r="K29" s="480" t="s">
        <v>34</v>
      </c>
      <c r="L29" s="481"/>
    </row>
    <row r="30" spans="1:12" ht="14.25" customHeight="1" thickBot="1" x14ac:dyDescent="0.3">
      <c r="A30" s="538"/>
      <c r="B30" s="458"/>
      <c r="C30" s="459"/>
      <c r="D30" s="521"/>
      <c r="E30" s="458"/>
      <c r="F30" s="459"/>
      <c r="G30" s="521"/>
      <c r="H30" s="458"/>
      <c r="I30" s="458"/>
      <c r="J30" s="459"/>
      <c r="K30" s="521"/>
      <c r="L30" s="522"/>
    </row>
    <row r="31" spans="1:12" ht="14.25" customHeight="1" x14ac:dyDescent="0.25">
      <c r="A31" s="471" t="s">
        <v>49</v>
      </c>
      <c r="B31" s="437"/>
      <c r="C31" s="472"/>
      <c r="D31" s="473" t="s">
        <v>224</v>
      </c>
      <c r="E31" s="437"/>
      <c r="F31" s="472"/>
      <c r="G31" s="548" t="s">
        <v>71</v>
      </c>
      <c r="H31" s="549"/>
      <c r="I31" s="549"/>
      <c r="J31" s="550"/>
      <c r="K31" s="474">
        <v>6</v>
      </c>
      <c r="L31" s="475"/>
    </row>
    <row r="32" spans="1:12" s="79" customFormat="1" ht="14.25" customHeight="1" x14ac:dyDescent="0.25">
      <c r="A32" s="476" t="s">
        <v>28</v>
      </c>
      <c r="B32" s="453"/>
      <c r="C32" s="477"/>
      <c r="D32" s="473" t="s">
        <v>225</v>
      </c>
      <c r="E32" s="437"/>
      <c r="F32" s="472"/>
      <c r="G32" s="465"/>
      <c r="H32" s="466"/>
      <c r="I32" s="466"/>
      <c r="J32" s="467"/>
      <c r="K32" s="478">
        <v>6</v>
      </c>
      <c r="L32" s="479"/>
    </row>
    <row r="33" spans="1:12" ht="14.25" customHeight="1" thickBot="1" x14ac:dyDescent="0.3">
      <c r="A33" s="454" t="s">
        <v>27</v>
      </c>
      <c r="B33" s="455"/>
      <c r="C33" s="456"/>
      <c r="D33" s="457" t="s">
        <v>226</v>
      </c>
      <c r="E33" s="458"/>
      <c r="F33" s="459"/>
      <c r="G33" s="468"/>
      <c r="H33" s="469"/>
      <c r="I33" s="469"/>
      <c r="J33" s="470"/>
      <c r="K33" s="460">
        <v>7</v>
      </c>
      <c r="L33" s="461"/>
    </row>
    <row r="34" spans="1:12" ht="14.25" customHeight="1" x14ac:dyDescent="0.25">
      <c r="A34" s="33"/>
      <c r="B34" s="33"/>
      <c r="C34" s="33"/>
      <c r="D34" s="10" t="s">
        <v>35</v>
      </c>
      <c r="E34" s="17"/>
      <c r="F34" s="11"/>
      <c r="G34" s="11"/>
      <c r="H34" s="173"/>
      <c r="I34" s="11"/>
      <c r="J34" s="20"/>
      <c r="K34" s="451">
        <f>SUM(K31:L33)</f>
        <v>19</v>
      </c>
      <c r="L34" s="437"/>
    </row>
    <row r="35" spans="1:12" ht="14.25" customHeight="1" x14ac:dyDescent="0.25">
      <c r="A35" s="33"/>
      <c r="B35" s="33"/>
      <c r="C35" s="33"/>
      <c r="D35" s="10" t="s">
        <v>36</v>
      </c>
      <c r="E35" s="17"/>
      <c r="F35" s="11"/>
      <c r="G35" s="11"/>
      <c r="H35" s="173"/>
      <c r="I35" s="11"/>
      <c r="K35" s="452">
        <f>L22+L27+K34</f>
        <v>40</v>
      </c>
      <c r="L35" s="453"/>
    </row>
    <row r="36" spans="1:12" ht="14.25" customHeight="1" thickBot="1" x14ac:dyDescent="0.3">
      <c r="A36" s="7" t="s">
        <v>37</v>
      </c>
      <c r="B36" s="19"/>
      <c r="D36" s="21"/>
      <c r="E36" s="22"/>
      <c r="F36" s="21"/>
      <c r="G36" s="21"/>
      <c r="H36" s="176"/>
      <c r="I36" s="21"/>
      <c r="J36" s="21"/>
      <c r="K36" s="23"/>
      <c r="L36" s="24"/>
    </row>
    <row r="37" spans="1:12" ht="14.25" customHeight="1" x14ac:dyDescent="0.25">
      <c r="A37" s="544" t="s">
        <v>13</v>
      </c>
      <c r="B37" s="540" t="s">
        <v>14</v>
      </c>
      <c r="C37" s="546"/>
      <c r="D37" s="540" t="s">
        <v>15</v>
      </c>
      <c r="E37" s="547" t="s">
        <v>16</v>
      </c>
      <c r="F37" s="540" t="s">
        <v>17</v>
      </c>
      <c r="G37" s="540" t="s">
        <v>18</v>
      </c>
      <c r="H37" s="543" t="s">
        <v>19</v>
      </c>
      <c r="I37" s="70" t="s">
        <v>20</v>
      </c>
      <c r="J37" s="70" t="s">
        <v>20</v>
      </c>
      <c r="K37" s="70" t="s">
        <v>21</v>
      </c>
      <c r="L37" s="71" t="s">
        <v>22</v>
      </c>
    </row>
    <row r="38" spans="1:12" x14ac:dyDescent="0.25">
      <c r="A38" s="602"/>
      <c r="B38" s="601"/>
      <c r="C38" s="601"/>
      <c r="D38" s="601"/>
      <c r="E38" s="601"/>
      <c r="F38" s="601"/>
      <c r="G38" s="601"/>
      <c r="H38" s="601"/>
      <c r="I38" s="271" t="s">
        <v>23</v>
      </c>
      <c r="J38" s="271" t="s">
        <v>24</v>
      </c>
      <c r="K38" s="271" t="s">
        <v>25</v>
      </c>
      <c r="L38" s="272" t="s">
        <v>26</v>
      </c>
    </row>
    <row r="39" spans="1:12" s="53" customFormat="1" x14ac:dyDescent="0.25">
      <c r="A39" s="554" t="s">
        <v>84</v>
      </c>
      <c r="B39" s="585" t="s">
        <v>85</v>
      </c>
      <c r="C39" s="585"/>
      <c r="D39" s="119" t="s">
        <v>38</v>
      </c>
      <c r="E39" s="120" t="s">
        <v>81</v>
      </c>
      <c r="F39" s="326" t="s">
        <v>86</v>
      </c>
      <c r="G39" s="586" t="s">
        <v>172</v>
      </c>
      <c r="H39" s="581">
        <v>40</v>
      </c>
      <c r="I39" s="553"/>
      <c r="J39" s="553"/>
      <c r="K39" s="553"/>
      <c r="L39" s="556">
        <v>1</v>
      </c>
    </row>
    <row r="40" spans="1:12" s="99" customFormat="1" x14ac:dyDescent="0.25">
      <c r="A40" s="554"/>
      <c r="B40" s="585"/>
      <c r="C40" s="585"/>
      <c r="D40" s="119" t="s">
        <v>38</v>
      </c>
      <c r="E40" s="120" t="s">
        <v>87</v>
      </c>
      <c r="F40" s="326">
        <v>20</v>
      </c>
      <c r="G40" s="586"/>
      <c r="H40" s="582"/>
      <c r="I40" s="553"/>
      <c r="J40" s="553"/>
      <c r="K40" s="553"/>
      <c r="L40" s="556"/>
    </row>
    <row r="41" spans="1:12" s="321" customFormat="1" x14ac:dyDescent="0.25">
      <c r="A41" s="511" t="s">
        <v>135</v>
      </c>
      <c r="B41" s="610" t="s">
        <v>134</v>
      </c>
      <c r="C41" s="610"/>
      <c r="D41" s="113" t="s">
        <v>89</v>
      </c>
      <c r="E41" s="114" t="s">
        <v>261</v>
      </c>
      <c r="F41" s="513" t="s">
        <v>181</v>
      </c>
      <c r="G41" s="390" t="s">
        <v>110</v>
      </c>
      <c r="H41" s="513">
        <v>40</v>
      </c>
      <c r="I41" s="513">
        <v>2</v>
      </c>
      <c r="J41" s="513">
        <v>1</v>
      </c>
      <c r="K41" s="513">
        <v>3</v>
      </c>
      <c r="L41" s="514">
        <v>5</v>
      </c>
    </row>
    <row r="42" spans="1:12" s="377" customFormat="1" x14ac:dyDescent="0.25">
      <c r="A42" s="511"/>
      <c r="B42" s="610"/>
      <c r="C42" s="610"/>
      <c r="D42" s="113" t="s">
        <v>50</v>
      </c>
      <c r="E42" s="114" t="s">
        <v>137</v>
      </c>
      <c r="F42" s="513"/>
      <c r="G42" s="390" t="s">
        <v>110</v>
      </c>
      <c r="H42" s="513"/>
      <c r="I42" s="513"/>
      <c r="J42" s="513"/>
      <c r="K42" s="513"/>
      <c r="L42" s="514"/>
    </row>
    <row r="43" spans="1:12" s="99" customFormat="1" x14ac:dyDescent="0.25">
      <c r="A43" s="511" t="s">
        <v>84</v>
      </c>
      <c r="B43" s="587" t="s">
        <v>85</v>
      </c>
      <c r="C43" s="587"/>
      <c r="D43" s="113" t="s">
        <v>27</v>
      </c>
      <c r="E43" s="114" t="s">
        <v>88</v>
      </c>
      <c r="F43" s="327" t="s">
        <v>86</v>
      </c>
      <c r="G43" s="589" t="s">
        <v>173</v>
      </c>
      <c r="H43" s="583">
        <v>40</v>
      </c>
      <c r="I43" s="513">
        <v>2</v>
      </c>
      <c r="J43" s="513">
        <v>1</v>
      </c>
      <c r="K43" s="513">
        <v>3</v>
      </c>
      <c r="L43" s="514">
        <v>5</v>
      </c>
    </row>
    <row r="44" spans="1:12" s="99" customFormat="1" ht="15.75" thickBot="1" x14ac:dyDescent="0.3">
      <c r="A44" s="558"/>
      <c r="B44" s="588"/>
      <c r="C44" s="588"/>
      <c r="D44" s="124" t="s">
        <v>89</v>
      </c>
      <c r="E44" s="125" t="s">
        <v>105</v>
      </c>
      <c r="F44" s="330">
        <v>20</v>
      </c>
      <c r="G44" s="590"/>
      <c r="H44" s="584"/>
      <c r="I44" s="551"/>
      <c r="J44" s="551"/>
      <c r="K44" s="551"/>
      <c r="L44" s="552"/>
    </row>
    <row r="45" spans="1:12" x14ac:dyDescent="0.25">
      <c r="A45" s="523"/>
      <c r="B45" s="431"/>
      <c r="C45" s="431"/>
      <c r="D45" s="4" t="s">
        <v>39</v>
      </c>
      <c r="E45" s="22"/>
      <c r="F45" s="21"/>
      <c r="G45" s="21"/>
      <c r="H45" s="176"/>
      <c r="I45" s="21"/>
      <c r="J45" s="21"/>
      <c r="K45" s="32">
        <f>SUM(K39:K44)</f>
        <v>6</v>
      </c>
      <c r="L45" s="32">
        <f>SUM(L39:L44)</f>
        <v>11</v>
      </c>
    </row>
    <row r="46" spans="1:12" x14ac:dyDescent="0.25">
      <c r="A46" s="20"/>
      <c r="B46" s="20"/>
      <c r="C46" s="20"/>
      <c r="D46" s="4" t="s">
        <v>40</v>
      </c>
      <c r="E46" s="25"/>
      <c r="F46" s="26"/>
      <c r="G46" s="26"/>
      <c r="H46" s="177"/>
      <c r="I46" s="26"/>
      <c r="J46" s="26"/>
      <c r="K46" s="32">
        <f>SUM(K22,K27,K45)</f>
        <v>12</v>
      </c>
      <c r="L46" s="32">
        <f>(L22+L27+K34+L45)</f>
        <v>51</v>
      </c>
    </row>
    <row r="47" spans="1:12" x14ac:dyDescent="0.25">
      <c r="A47" s="20"/>
      <c r="B47" s="20"/>
      <c r="C47" s="20"/>
      <c r="D47" s="4"/>
      <c r="E47" s="25"/>
      <c r="F47" s="26"/>
      <c r="G47" s="26"/>
      <c r="H47" s="177"/>
      <c r="I47" s="26"/>
      <c r="J47" s="26"/>
      <c r="K47" s="21"/>
      <c r="L47" s="21"/>
    </row>
    <row r="48" spans="1:12" x14ac:dyDescent="0.25">
      <c r="A48" s="28"/>
      <c r="B48" s="28"/>
      <c r="C48" s="28"/>
      <c r="D48" s="20"/>
      <c r="E48" s="2"/>
      <c r="F48" s="20"/>
      <c r="G48" s="20"/>
      <c r="H48" s="179"/>
      <c r="I48" s="28"/>
      <c r="J48" s="28"/>
      <c r="K48" s="28"/>
      <c r="L48" s="28"/>
    </row>
    <row r="49" spans="1:12" x14ac:dyDescent="0.25">
      <c r="A49" s="432" t="s">
        <v>43</v>
      </c>
      <c r="B49" s="431"/>
      <c r="C49" s="431"/>
      <c r="D49" s="27"/>
      <c r="E49" s="27"/>
      <c r="F49" s="27"/>
      <c r="G49" s="27"/>
      <c r="H49" s="433" t="s">
        <v>44</v>
      </c>
      <c r="I49" s="434"/>
      <c r="J49" s="434"/>
      <c r="K49" s="434"/>
      <c r="L49" s="434"/>
    </row>
    <row r="50" spans="1:12" ht="14.25" customHeight="1" x14ac:dyDescent="0.25">
      <c r="A50" s="435" t="s">
        <v>45</v>
      </c>
      <c r="B50" s="431"/>
      <c r="C50" s="431"/>
      <c r="D50" s="27"/>
      <c r="E50" s="27"/>
      <c r="F50" s="27"/>
      <c r="G50" s="27"/>
      <c r="H50" s="435" t="s">
        <v>46</v>
      </c>
      <c r="I50" s="431"/>
      <c r="J50" s="431"/>
      <c r="K50" s="431"/>
      <c r="L50" s="431"/>
    </row>
    <row r="51" spans="1:12" ht="14.25" customHeight="1" x14ac:dyDescent="0.25">
      <c r="A51" s="20"/>
      <c r="B51" s="20"/>
      <c r="C51" s="20"/>
      <c r="D51" s="20"/>
      <c r="E51" s="2"/>
      <c r="F51" s="20"/>
      <c r="G51" s="20"/>
      <c r="H51" s="180"/>
      <c r="I51" s="20"/>
      <c r="J51" s="20"/>
      <c r="K51" s="20"/>
      <c r="L51" s="20"/>
    </row>
    <row r="52" spans="1:12" x14ac:dyDescent="0.25">
      <c r="A52" s="20"/>
      <c r="B52" s="20"/>
      <c r="C52" s="321"/>
      <c r="D52" s="436" t="s">
        <v>192</v>
      </c>
      <c r="E52" s="437"/>
      <c r="F52" s="437"/>
      <c r="G52" s="437"/>
      <c r="H52" s="437"/>
      <c r="I52" s="437"/>
      <c r="J52" s="20"/>
      <c r="K52" s="20"/>
      <c r="L52" s="20"/>
    </row>
    <row r="53" spans="1:12" x14ac:dyDescent="0.25">
      <c r="A53" s="321"/>
      <c r="B53" s="321"/>
      <c r="C53" s="20"/>
      <c r="D53" s="433" t="s">
        <v>47</v>
      </c>
      <c r="E53" s="434"/>
      <c r="F53" s="434"/>
      <c r="G53" s="434"/>
      <c r="H53" s="434"/>
      <c r="I53" s="434"/>
      <c r="J53" s="20"/>
      <c r="K53" s="20"/>
      <c r="L53" s="20"/>
    </row>
    <row r="54" spans="1:12" ht="14.25" customHeight="1" x14ac:dyDescent="0.25">
      <c r="A54" s="10" t="s">
        <v>48</v>
      </c>
      <c r="B54" s="20"/>
      <c r="C54" s="20"/>
      <c r="D54" s="430"/>
      <c r="E54" s="431"/>
      <c r="F54" s="431"/>
      <c r="G54" s="431"/>
      <c r="H54" s="431"/>
      <c r="I54" s="431"/>
      <c r="J54" s="29"/>
      <c r="K54" s="20"/>
      <c r="L54" s="20"/>
    </row>
    <row r="55" spans="1:12" ht="2.25" customHeight="1" x14ac:dyDescent="0.25">
      <c r="A55" s="564"/>
      <c r="B55" s="431"/>
      <c r="C55" s="431"/>
      <c r="D55" s="30"/>
      <c r="E55" s="31"/>
      <c r="F55" s="30"/>
      <c r="G55" s="30"/>
      <c r="H55" s="181"/>
      <c r="I55" s="563"/>
      <c r="J55" s="431"/>
      <c r="K55" s="563"/>
      <c r="L55" s="431"/>
    </row>
    <row r="56" spans="1:12" ht="14.25" customHeight="1" x14ac:dyDescent="0.25">
      <c r="E56" s="2"/>
    </row>
    <row r="57" spans="1:12" ht="14.25" customHeight="1" x14ac:dyDescent="0.25">
      <c r="E57" s="2"/>
    </row>
    <row r="58" spans="1:12" ht="14.25" customHeight="1" x14ac:dyDescent="0.25">
      <c r="E58" s="2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</sheetData>
  <mergeCells count="97">
    <mergeCell ref="A41:A42"/>
    <mergeCell ref="B41:C42"/>
    <mergeCell ref="L41:L42"/>
    <mergeCell ref="F41:F42"/>
    <mergeCell ref="H41:H42"/>
    <mergeCell ref="I41:I42"/>
    <mergeCell ref="J41:J42"/>
    <mergeCell ref="K41:K42"/>
    <mergeCell ref="J43:J44"/>
    <mergeCell ref="K43:K44"/>
    <mergeCell ref="K18:K19"/>
    <mergeCell ref="L18:L19"/>
    <mergeCell ref="L20:L21"/>
    <mergeCell ref="K35:L35"/>
    <mergeCell ref="K34:L34"/>
    <mergeCell ref="K29:L30"/>
    <mergeCell ref="G20:G21"/>
    <mergeCell ref="A20:A21"/>
    <mergeCell ref="I20:I21"/>
    <mergeCell ref="J20:J21"/>
    <mergeCell ref="K20:K21"/>
    <mergeCell ref="B20:C21"/>
    <mergeCell ref="H20:H21"/>
    <mergeCell ref="A18:A19"/>
    <mergeCell ref="B18:C19"/>
    <mergeCell ref="G18:G19"/>
    <mergeCell ref="I18:I19"/>
    <mergeCell ref="J18:J19"/>
    <mergeCell ref="H18:H19"/>
    <mergeCell ref="H37:H38"/>
    <mergeCell ref="A37:A38"/>
    <mergeCell ref="B37:C38"/>
    <mergeCell ref="D37:D38"/>
    <mergeCell ref="E37:E38"/>
    <mergeCell ref="F37:F38"/>
    <mergeCell ref="G37:G38"/>
    <mergeCell ref="A55:C55"/>
    <mergeCell ref="I55:J55"/>
    <mergeCell ref="K55:L55"/>
    <mergeCell ref="A45:C45"/>
    <mergeCell ref="A50:C50"/>
    <mergeCell ref="H50:L50"/>
    <mergeCell ref="D53:I53"/>
    <mergeCell ref="D54:I54"/>
    <mergeCell ref="D52:I52"/>
    <mergeCell ref="A31:C31"/>
    <mergeCell ref="D31:F31"/>
    <mergeCell ref="K31:L31"/>
    <mergeCell ref="A33:C33"/>
    <mergeCell ref="D33:F33"/>
    <mergeCell ref="K33:L33"/>
    <mergeCell ref="A32:C32"/>
    <mergeCell ref="D32:F32"/>
    <mergeCell ref="K32:L32"/>
    <mergeCell ref="G31:J33"/>
    <mergeCell ref="B22:C22"/>
    <mergeCell ref="A24:A25"/>
    <mergeCell ref="B24:C25"/>
    <mergeCell ref="D24:D25"/>
    <mergeCell ref="E24:G25"/>
    <mergeCell ref="H24:H25"/>
    <mergeCell ref="A26:C26"/>
    <mergeCell ref="E26:G26"/>
    <mergeCell ref="A29:C30"/>
    <mergeCell ref="D29:F30"/>
    <mergeCell ref="G29:J30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2:L2"/>
    <mergeCell ref="A3:L3"/>
    <mergeCell ref="A4:L4"/>
    <mergeCell ref="A5:L5"/>
    <mergeCell ref="A6:L6"/>
    <mergeCell ref="H39:H40"/>
    <mergeCell ref="H43:H44"/>
    <mergeCell ref="A49:C49"/>
    <mergeCell ref="H49:L49"/>
    <mergeCell ref="A39:A40"/>
    <mergeCell ref="B39:C40"/>
    <mergeCell ref="G39:G40"/>
    <mergeCell ref="B43:C44"/>
    <mergeCell ref="G43:G44"/>
    <mergeCell ref="A43:A44"/>
    <mergeCell ref="I39:I40"/>
    <mergeCell ref="J39:J40"/>
    <mergeCell ref="K39:K40"/>
    <mergeCell ref="L39:L40"/>
    <mergeCell ref="L43:L44"/>
    <mergeCell ref="I43:I44"/>
  </mergeCells>
  <pageMargins left="0.5" right="0.25" top="0.25" bottom="0.25" header="0" footer="0"/>
  <pageSetup paperSize="5" scale="8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6"/>
  <sheetViews>
    <sheetView topLeftCell="A36" zoomScaleNormal="100" workbookViewId="0">
      <selection activeCell="A46" sqref="A46:L47"/>
    </sheetView>
  </sheetViews>
  <sheetFormatPr defaultColWidth="14.42578125" defaultRowHeight="15" customHeight="1" x14ac:dyDescent="0.25"/>
  <cols>
    <col min="1" max="1" width="10" customWidth="1"/>
    <col min="2" max="2" width="8.85546875" customWidth="1"/>
    <col min="3" max="3" width="16.7109375" customWidth="1"/>
    <col min="4" max="4" width="8" customWidth="1"/>
    <col min="5" max="5" width="16.85546875" customWidth="1"/>
    <col min="6" max="6" width="9.7109375" customWidth="1"/>
    <col min="7" max="7" width="10" style="47" customWidth="1"/>
    <col min="8" max="8" width="9.42578125" style="86" customWidth="1"/>
    <col min="9" max="12" width="5.85546875" customWidth="1"/>
    <col min="13" max="26" width="8.85546875" customWidth="1"/>
  </cols>
  <sheetData>
    <row r="1" spans="1:12" ht="14.25" customHeight="1" x14ac:dyDescent="0.25">
      <c r="A1" s="1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"/>
      <c r="B8" s="3"/>
      <c r="C8" s="3"/>
      <c r="D8" s="3"/>
      <c r="E8" s="4"/>
      <c r="F8" s="3"/>
      <c r="G8" s="3"/>
      <c r="H8" s="98"/>
      <c r="I8" s="3"/>
      <c r="J8" s="3"/>
      <c r="K8" s="3"/>
      <c r="L8" s="3"/>
    </row>
    <row r="9" spans="1:12" ht="20.25" customHeight="1" x14ac:dyDescent="0.3">
      <c r="A9" s="496" t="s">
        <v>57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48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48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48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48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C15" s="200"/>
      <c r="D15" s="200"/>
      <c r="E15" s="2"/>
      <c r="F15" s="200"/>
      <c r="G15" s="200"/>
      <c r="I15" s="200"/>
      <c r="J15" s="200"/>
      <c r="K15" s="200"/>
      <c r="L15" s="200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2" ht="25.5" customHeight="1" x14ac:dyDescent="0.25">
      <c r="A18" s="411" t="s">
        <v>121</v>
      </c>
      <c r="B18" s="761" t="s">
        <v>191</v>
      </c>
      <c r="C18" s="762"/>
      <c r="D18" s="763" t="s">
        <v>95</v>
      </c>
      <c r="E18" s="114" t="s">
        <v>190</v>
      </c>
      <c r="F18" s="413" t="s">
        <v>102</v>
      </c>
      <c r="G18" s="423" t="s">
        <v>267</v>
      </c>
      <c r="H18" s="413">
        <v>40</v>
      </c>
      <c r="I18" s="413">
        <v>4</v>
      </c>
      <c r="J18" s="413">
        <v>0</v>
      </c>
      <c r="K18" s="413">
        <v>3</v>
      </c>
      <c r="L18" s="415">
        <v>4</v>
      </c>
    </row>
    <row r="19" spans="1:12" ht="15" customHeight="1" x14ac:dyDescent="0.25">
      <c r="A19" s="511" t="s">
        <v>121</v>
      </c>
      <c r="B19" s="512" t="s">
        <v>122</v>
      </c>
      <c r="C19" s="512"/>
      <c r="D19" s="113" t="s">
        <v>28</v>
      </c>
      <c r="E19" s="114" t="s">
        <v>79</v>
      </c>
      <c r="F19" s="413" t="s">
        <v>110</v>
      </c>
      <c r="G19" s="513" t="s">
        <v>175</v>
      </c>
      <c r="H19" s="513">
        <v>40</v>
      </c>
      <c r="I19" s="513">
        <v>2</v>
      </c>
      <c r="J19" s="513">
        <v>1</v>
      </c>
      <c r="K19" s="513">
        <v>3</v>
      </c>
      <c r="L19" s="514">
        <v>5</v>
      </c>
    </row>
    <row r="20" spans="1:12" ht="15" customHeight="1" x14ac:dyDescent="0.25">
      <c r="A20" s="511"/>
      <c r="B20" s="512"/>
      <c r="C20" s="512"/>
      <c r="D20" s="113" t="s">
        <v>49</v>
      </c>
      <c r="E20" s="114" t="s">
        <v>107</v>
      </c>
      <c r="F20" s="413">
        <v>20</v>
      </c>
      <c r="G20" s="513"/>
      <c r="H20" s="513"/>
      <c r="I20" s="513"/>
      <c r="J20" s="513"/>
      <c r="K20" s="513"/>
      <c r="L20" s="514"/>
    </row>
    <row r="21" spans="1:12" s="84" customFormat="1" ht="15" customHeight="1" x14ac:dyDescent="0.25">
      <c r="A21" s="511" t="s">
        <v>128</v>
      </c>
      <c r="B21" s="512" t="s">
        <v>129</v>
      </c>
      <c r="C21" s="512"/>
      <c r="D21" s="113" t="s">
        <v>50</v>
      </c>
      <c r="E21" s="114" t="s">
        <v>81</v>
      </c>
      <c r="F21" s="413" t="s">
        <v>106</v>
      </c>
      <c r="G21" s="513" t="s">
        <v>179</v>
      </c>
      <c r="H21" s="513">
        <v>40</v>
      </c>
      <c r="I21" s="513">
        <v>3</v>
      </c>
      <c r="J21" s="513">
        <v>3</v>
      </c>
      <c r="K21" s="513">
        <v>5</v>
      </c>
      <c r="L21" s="514">
        <v>5</v>
      </c>
    </row>
    <row r="22" spans="1:12" ht="14.25" customHeight="1" x14ac:dyDescent="0.25">
      <c r="A22" s="511"/>
      <c r="B22" s="512"/>
      <c r="C22" s="512"/>
      <c r="D22" s="113" t="s">
        <v>27</v>
      </c>
      <c r="E22" s="115" t="s">
        <v>141</v>
      </c>
      <c r="F22" s="413" t="s">
        <v>106</v>
      </c>
      <c r="G22" s="513"/>
      <c r="H22" s="513"/>
      <c r="I22" s="513"/>
      <c r="J22" s="513"/>
      <c r="K22" s="513"/>
      <c r="L22" s="514"/>
    </row>
    <row r="23" spans="1:12" s="84" customFormat="1" ht="14.25" customHeight="1" x14ac:dyDescent="0.25">
      <c r="A23" s="511" t="s">
        <v>128</v>
      </c>
      <c r="B23" s="512" t="s">
        <v>129</v>
      </c>
      <c r="C23" s="512"/>
      <c r="D23" s="113" t="s">
        <v>49</v>
      </c>
      <c r="E23" s="114" t="s">
        <v>88</v>
      </c>
      <c r="F23" s="413" t="s">
        <v>102</v>
      </c>
      <c r="G23" s="513" t="s">
        <v>184</v>
      </c>
      <c r="H23" s="687">
        <v>40</v>
      </c>
      <c r="I23" s="513">
        <v>2</v>
      </c>
      <c r="J23" s="513">
        <v>1</v>
      </c>
      <c r="K23" s="513">
        <v>3</v>
      </c>
      <c r="L23" s="514">
        <v>5</v>
      </c>
    </row>
    <row r="24" spans="1:12" ht="14.25" customHeight="1" x14ac:dyDescent="0.25">
      <c r="A24" s="511"/>
      <c r="B24" s="512"/>
      <c r="C24" s="512"/>
      <c r="D24" s="113" t="s">
        <v>28</v>
      </c>
      <c r="E24" s="189" t="s">
        <v>266</v>
      </c>
      <c r="F24" s="413" t="s">
        <v>102</v>
      </c>
      <c r="G24" s="513"/>
      <c r="H24" s="566"/>
      <c r="I24" s="513"/>
      <c r="J24" s="513"/>
      <c r="K24" s="513"/>
      <c r="L24" s="514"/>
    </row>
    <row r="25" spans="1:12" ht="14.25" customHeight="1" x14ac:dyDescent="0.25">
      <c r="A25" s="664" t="s">
        <v>133</v>
      </c>
      <c r="B25" s="699" t="s">
        <v>132</v>
      </c>
      <c r="C25" s="699"/>
      <c r="D25" s="219" t="s">
        <v>38</v>
      </c>
      <c r="E25" s="220" t="s">
        <v>82</v>
      </c>
      <c r="F25" s="426" t="s">
        <v>86</v>
      </c>
      <c r="G25" s="658" t="s">
        <v>180</v>
      </c>
      <c r="H25" s="658">
        <v>40</v>
      </c>
      <c r="I25" s="658">
        <v>2</v>
      </c>
      <c r="J25" s="658">
        <v>1</v>
      </c>
      <c r="K25" s="658">
        <v>3</v>
      </c>
      <c r="L25" s="656">
        <v>2</v>
      </c>
    </row>
    <row r="26" spans="1:12" ht="14.25" customHeight="1" thickBot="1" x14ac:dyDescent="0.3">
      <c r="A26" s="628"/>
      <c r="B26" s="662"/>
      <c r="C26" s="662"/>
      <c r="D26" s="216" t="s">
        <v>38</v>
      </c>
      <c r="E26" s="217" t="s">
        <v>137</v>
      </c>
      <c r="F26" s="425" t="s">
        <v>86</v>
      </c>
      <c r="G26" s="630"/>
      <c r="H26" s="630"/>
      <c r="I26" s="630"/>
      <c r="J26" s="630"/>
      <c r="K26" s="630"/>
      <c r="L26" s="633"/>
    </row>
    <row r="27" spans="1:12" ht="14.25" customHeight="1" x14ac:dyDescent="0.25">
      <c r="A27" s="202"/>
      <c r="B27" s="438"/>
      <c r="C27" s="439"/>
      <c r="D27" s="202"/>
      <c r="E27" s="134" t="s">
        <v>29</v>
      </c>
      <c r="F27" s="141"/>
      <c r="G27" s="141"/>
      <c r="H27" s="182"/>
      <c r="I27" s="143"/>
      <c r="J27" s="143"/>
      <c r="K27" s="234">
        <f>SUM(K18:K26)</f>
        <v>17</v>
      </c>
      <c r="L27" s="234">
        <f>SUM(L18:L26)</f>
        <v>21</v>
      </c>
    </row>
    <row r="28" spans="1:12" ht="14.25" customHeight="1" thickBot="1" x14ac:dyDescent="0.3">
      <c r="A28" s="193" t="s">
        <v>30</v>
      </c>
      <c r="B28" s="165"/>
      <c r="C28" s="202"/>
      <c r="D28" s="202"/>
      <c r="E28" s="138"/>
      <c r="F28" s="202"/>
      <c r="G28" s="202"/>
      <c r="H28" s="183"/>
      <c r="I28" s="202"/>
      <c r="J28" s="202"/>
      <c r="K28" s="202"/>
      <c r="L28" s="202"/>
    </row>
    <row r="29" spans="1:12" ht="14.25" customHeight="1" x14ac:dyDescent="0.25">
      <c r="A29" s="485" t="s">
        <v>13</v>
      </c>
      <c r="B29" s="487" t="s">
        <v>14</v>
      </c>
      <c r="C29" s="488"/>
      <c r="D29" s="487" t="s">
        <v>15</v>
      </c>
      <c r="E29" s="487" t="s">
        <v>16</v>
      </c>
      <c r="F29" s="488"/>
      <c r="G29" s="488"/>
      <c r="H29" s="441" t="s">
        <v>19</v>
      </c>
      <c r="I29" s="204" t="s">
        <v>20</v>
      </c>
      <c r="J29" s="204" t="s">
        <v>20</v>
      </c>
      <c r="K29" s="204" t="s">
        <v>21</v>
      </c>
      <c r="L29" s="241" t="s">
        <v>22</v>
      </c>
    </row>
    <row r="30" spans="1:12" ht="14.25" customHeight="1" x14ac:dyDescent="0.25">
      <c r="A30" s="504"/>
      <c r="B30" s="505"/>
      <c r="C30" s="505"/>
      <c r="D30" s="505"/>
      <c r="E30" s="505"/>
      <c r="F30" s="505"/>
      <c r="G30" s="505"/>
      <c r="H30" s="506"/>
      <c r="I30" s="240" t="s">
        <v>23</v>
      </c>
      <c r="J30" s="240" t="s">
        <v>24</v>
      </c>
      <c r="K30" s="240" t="s">
        <v>25</v>
      </c>
      <c r="L30" s="242" t="s">
        <v>26</v>
      </c>
    </row>
    <row r="31" spans="1:12" ht="14.25" customHeight="1" thickBot="1" x14ac:dyDescent="0.3">
      <c r="A31" s="611"/>
      <c r="B31" s="489"/>
      <c r="C31" s="489"/>
      <c r="D31" s="205"/>
      <c r="E31" s="489"/>
      <c r="F31" s="489"/>
      <c r="G31" s="489"/>
      <c r="H31" s="203"/>
      <c r="I31" s="205"/>
      <c r="J31" s="205"/>
      <c r="K31" s="205"/>
      <c r="L31" s="250"/>
    </row>
    <row r="32" spans="1:12" ht="14.25" customHeight="1" x14ac:dyDescent="0.25">
      <c r="A32" s="200"/>
      <c r="B32" s="200"/>
      <c r="C32" s="200"/>
      <c r="D32" s="10" t="s">
        <v>31</v>
      </c>
      <c r="E32" s="17"/>
      <c r="F32" s="11"/>
      <c r="G32" s="11"/>
      <c r="H32" s="173"/>
      <c r="I32" s="11"/>
      <c r="J32" s="200"/>
      <c r="K32" s="32">
        <f>SUM(K31)</f>
        <v>0</v>
      </c>
      <c r="L32" s="32">
        <f>SUM(L31)</f>
        <v>0</v>
      </c>
    </row>
    <row r="33" spans="1:16" ht="14.25" customHeight="1" thickBot="1" x14ac:dyDescent="0.3">
      <c r="A33" s="7" t="s">
        <v>32</v>
      </c>
      <c r="B33" s="18"/>
      <c r="C33" s="19"/>
      <c r="D33" s="19"/>
      <c r="E33" s="2"/>
      <c r="F33" s="19"/>
      <c r="G33" s="19"/>
      <c r="H33" s="175"/>
      <c r="I33" s="19"/>
      <c r="J33" s="19"/>
      <c r="K33" s="19"/>
      <c r="L33" s="19"/>
    </row>
    <row r="34" spans="1:16" s="79" customFormat="1" ht="14.25" customHeight="1" x14ac:dyDescent="0.25">
      <c r="A34" s="492" t="s">
        <v>15</v>
      </c>
      <c r="B34" s="493"/>
      <c r="C34" s="494"/>
      <c r="D34" s="480" t="s">
        <v>16</v>
      </c>
      <c r="E34" s="493"/>
      <c r="F34" s="494"/>
      <c r="G34" s="480" t="s">
        <v>33</v>
      </c>
      <c r="H34" s="493"/>
      <c r="I34" s="493"/>
      <c r="J34" s="494"/>
      <c r="K34" s="480" t="s">
        <v>34</v>
      </c>
      <c r="L34" s="481"/>
    </row>
    <row r="35" spans="1:16" s="79" customFormat="1" ht="14.25" customHeight="1" x14ac:dyDescent="0.25">
      <c r="A35" s="495"/>
      <c r="B35" s="437"/>
      <c r="C35" s="472"/>
      <c r="D35" s="482"/>
      <c r="E35" s="437"/>
      <c r="F35" s="472"/>
      <c r="G35" s="482"/>
      <c r="H35" s="437"/>
      <c r="I35" s="437"/>
      <c r="J35" s="472"/>
      <c r="K35" s="482"/>
      <c r="L35" s="475"/>
    </row>
    <row r="36" spans="1:16" ht="14.25" customHeight="1" x14ac:dyDescent="0.25">
      <c r="A36" s="471" t="s">
        <v>28</v>
      </c>
      <c r="B36" s="437"/>
      <c r="C36" s="472"/>
      <c r="D36" s="473" t="s">
        <v>72</v>
      </c>
      <c r="E36" s="437"/>
      <c r="F36" s="472"/>
      <c r="G36" s="462" t="s">
        <v>75</v>
      </c>
      <c r="H36" s="463"/>
      <c r="I36" s="463"/>
      <c r="J36" s="464"/>
      <c r="K36" s="474">
        <v>6</v>
      </c>
      <c r="L36" s="475"/>
    </row>
    <row r="37" spans="1:16" ht="13.5" customHeight="1" x14ac:dyDescent="0.25">
      <c r="A37" s="476" t="s">
        <v>49</v>
      </c>
      <c r="B37" s="453"/>
      <c r="C37" s="477"/>
      <c r="D37" s="539" t="s">
        <v>73</v>
      </c>
      <c r="E37" s="453"/>
      <c r="F37" s="477"/>
      <c r="G37" s="465"/>
      <c r="H37" s="466"/>
      <c r="I37" s="466"/>
      <c r="J37" s="467"/>
      <c r="K37" s="478">
        <v>4</v>
      </c>
      <c r="L37" s="479"/>
    </row>
    <row r="38" spans="1:16" ht="14.25" customHeight="1" x14ac:dyDescent="0.25">
      <c r="A38" s="476" t="s">
        <v>27</v>
      </c>
      <c r="B38" s="453"/>
      <c r="C38" s="477"/>
      <c r="D38" s="539" t="s">
        <v>73</v>
      </c>
      <c r="E38" s="453"/>
      <c r="F38" s="477"/>
      <c r="G38" s="465"/>
      <c r="H38" s="466"/>
      <c r="I38" s="466"/>
      <c r="J38" s="467"/>
      <c r="K38" s="478">
        <v>4</v>
      </c>
      <c r="L38" s="479"/>
    </row>
    <row r="39" spans="1:16" x14ac:dyDescent="0.25">
      <c r="A39" s="476" t="s">
        <v>38</v>
      </c>
      <c r="B39" s="453"/>
      <c r="C39" s="477"/>
      <c r="D39" s="539" t="s">
        <v>74</v>
      </c>
      <c r="E39" s="453"/>
      <c r="F39" s="477"/>
      <c r="G39" s="465"/>
      <c r="H39" s="466"/>
      <c r="I39" s="466"/>
      <c r="J39" s="467"/>
      <c r="K39" s="478">
        <v>1</v>
      </c>
      <c r="L39" s="479"/>
    </row>
    <row r="40" spans="1:16" ht="15.75" thickBot="1" x14ac:dyDescent="0.3">
      <c r="A40" s="454" t="s">
        <v>50</v>
      </c>
      <c r="B40" s="455"/>
      <c r="C40" s="456"/>
      <c r="D40" s="542" t="s">
        <v>73</v>
      </c>
      <c r="E40" s="455"/>
      <c r="F40" s="456"/>
      <c r="G40" s="468"/>
      <c r="H40" s="469"/>
      <c r="I40" s="469"/>
      <c r="J40" s="470"/>
      <c r="K40" s="460">
        <v>4</v>
      </c>
      <c r="L40" s="461"/>
    </row>
    <row r="41" spans="1:16" x14ac:dyDescent="0.25">
      <c r="A41" s="201"/>
      <c r="B41" s="201"/>
      <c r="C41" s="201"/>
      <c r="D41" s="10" t="s">
        <v>35</v>
      </c>
      <c r="E41" s="17"/>
      <c r="F41" s="11"/>
      <c r="G41" s="11"/>
      <c r="H41" s="173"/>
      <c r="I41" s="11"/>
      <c r="J41" s="20"/>
      <c r="K41" s="451">
        <v>19</v>
      </c>
      <c r="L41" s="437"/>
      <c r="N41" s="87"/>
      <c r="O41" s="87"/>
    </row>
    <row r="42" spans="1:16" x14ac:dyDescent="0.25">
      <c r="A42" s="201"/>
      <c r="B42" s="201"/>
      <c r="C42" s="201"/>
      <c r="D42" s="10" t="s">
        <v>36</v>
      </c>
      <c r="E42" s="17"/>
      <c r="F42" s="11"/>
      <c r="G42" s="11"/>
      <c r="H42" s="173"/>
      <c r="I42" s="11"/>
      <c r="J42" s="200"/>
      <c r="K42" s="452">
        <f>L27+L32+K41</f>
        <v>40</v>
      </c>
      <c r="L42" s="453"/>
      <c r="N42" s="87"/>
      <c r="O42" s="87"/>
      <c r="P42" s="87"/>
    </row>
    <row r="43" spans="1:16" s="88" customFormat="1" ht="17.25" thickBot="1" x14ac:dyDescent="0.3">
      <c r="A43" s="7" t="s">
        <v>37</v>
      </c>
      <c r="B43" s="19"/>
      <c r="C43" s="200"/>
      <c r="D43" s="21"/>
      <c r="E43" s="22"/>
      <c r="F43" s="21"/>
      <c r="G43" s="21"/>
      <c r="H43" s="176"/>
      <c r="I43" s="21"/>
      <c r="J43" s="21"/>
      <c r="K43" s="23"/>
      <c r="L43" s="24"/>
    </row>
    <row r="44" spans="1:16" s="99" customFormat="1" x14ac:dyDescent="0.25">
      <c r="A44" s="446" t="s">
        <v>13</v>
      </c>
      <c r="B44" s="448" t="s">
        <v>14</v>
      </c>
      <c r="C44" s="565"/>
      <c r="D44" s="448" t="s">
        <v>15</v>
      </c>
      <c r="E44" s="448" t="s">
        <v>16</v>
      </c>
      <c r="F44" s="448" t="s">
        <v>17</v>
      </c>
      <c r="G44" s="448" t="s">
        <v>18</v>
      </c>
      <c r="H44" s="441" t="s">
        <v>19</v>
      </c>
      <c r="I44" s="49" t="s">
        <v>20</v>
      </c>
      <c r="J44" s="49" t="s">
        <v>20</v>
      </c>
      <c r="K44" s="49" t="s">
        <v>21</v>
      </c>
      <c r="L44" s="50" t="s">
        <v>22</v>
      </c>
    </row>
    <row r="45" spans="1:16" ht="15.75" thickBot="1" x14ac:dyDescent="0.3">
      <c r="A45" s="655"/>
      <c r="B45" s="650"/>
      <c r="C45" s="650"/>
      <c r="D45" s="650"/>
      <c r="E45" s="650"/>
      <c r="F45" s="650"/>
      <c r="G45" s="650"/>
      <c r="H45" s="650"/>
      <c r="I45" s="51" t="s">
        <v>23</v>
      </c>
      <c r="J45" s="51" t="s">
        <v>24</v>
      </c>
      <c r="K45" s="51" t="s">
        <v>25</v>
      </c>
      <c r="L45" s="52" t="s">
        <v>26</v>
      </c>
      <c r="N45" s="87"/>
      <c r="O45" s="87"/>
      <c r="P45" s="87"/>
    </row>
    <row r="46" spans="1:16" ht="15" customHeight="1" x14ac:dyDescent="0.25">
      <c r="A46" s="664" t="s">
        <v>133</v>
      </c>
      <c r="B46" s="699" t="s">
        <v>132</v>
      </c>
      <c r="C46" s="699"/>
      <c r="D46" s="219" t="s">
        <v>38</v>
      </c>
      <c r="E46" s="220" t="s">
        <v>82</v>
      </c>
      <c r="F46" s="426" t="s">
        <v>86</v>
      </c>
      <c r="G46" s="658" t="s">
        <v>180</v>
      </c>
      <c r="H46" s="658">
        <v>40</v>
      </c>
      <c r="I46" s="658"/>
      <c r="J46" s="658"/>
      <c r="K46" s="658"/>
      <c r="L46" s="656">
        <v>3</v>
      </c>
      <c r="N46" s="87"/>
      <c r="O46" s="87"/>
      <c r="P46" s="87"/>
    </row>
    <row r="47" spans="1:16" x14ac:dyDescent="0.25">
      <c r="A47" s="627"/>
      <c r="B47" s="661"/>
      <c r="C47" s="661"/>
      <c r="D47" s="213" t="s">
        <v>38</v>
      </c>
      <c r="E47" s="214" t="s">
        <v>137</v>
      </c>
      <c r="F47" s="424" t="s">
        <v>86</v>
      </c>
      <c r="G47" s="629"/>
      <c r="H47" s="629"/>
      <c r="I47" s="629"/>
      <c r="J47" s="629"/>
      <c r="K47" s="629"/>
      <c r="L47" s="632"/>
      <c r="N47" s="87"/>
      <c r="O47" s="87"/>
      <c r="P47" s="87"/>
    </row>
    <row r="48" spans="1:16" s="407" customFormat="1" x14ac:dyDescent="0.25">
      <c r="A48" s="784" t="s">
        <v>131</v>
      </c>
      <c r="B48" s="777" t="s">
        <v>153</v>
      </c>
      <c r="C48" s="777"/>
      <c r="D48" s="776" t="s">
        <v>156</v>
      </c>
      <c r="E48" s="778" t="s">
        <v>155</v>
      </c>
      <c r="F48" s="776">
        <v>24</v>
      </c>
      <c r="G48" s="776" t="s">
        <v>154</v>
      </c>
      <c r="H48" s="776">
        <v>40</v>
      </c>
      <c r="I48" s="776">
        <v>3</v>
      </c>
      <c r="J48" s="776">
        <v>0</v>
      </c>
      <c r="K48" s="776">
        <v>3</v>
      </c>
      <c r="L48" s="785">
        <v>3</v>
      </c>
    </row>
    <row r="49" spans="1:12" s="407" customFormat="1" ht="27.75" customHeight="1" thickBot="1" x14ac:dyDescent="0.3">
      <c r="A49" s="255" t="s">
        <v>100</v>
      </c>
      <c r="B49" s="721" t="s">
        <v>101</v>
      </c>
      <c r="C49" s="721"/>
      <c r="D49" s="209" t="s">
        <v>95</v>
      </c>
      <c r="E49" s="83" t="s">
        <v>167</v>
      </c>
      <c r="F49" s="209">
        <v>54</v>
      </c>
      <c r="G49" s="209" t="s">
        <v>166</v>
      </c>
      <c r="H49" s="209">
        <v>40</v>
      </c>
      <c r="I49" s="209">
        <v>3</v>
      </c>
      <c r="J49" s="209">
        <v>0</v>
      </c>
      <c r="K49" s="209">
        <v>3</v>
      </c>
      <c r="L49" s="212">
        <v>3</v>
      </c>
    </row>
    <row r="50" spans="1:12" ht="14.25" customHeight="1" x14ac:dyDescent="0.25">
      <c r="A50" s="438"/>
      <c r="B50" s="439"/>
      <c r="C50" s="439"/>
      <c r="D50" s="134" t="s">
        <v>39</v>
      </c>
      <c r="E50" s="153"/>
      <c r="F50" s="137"/>
      <c r="G50" s="137"/>
      <c r="H50" s="187"/>
      <c r="I50" s="137"/>
      <c r="J50" s="137"/>
      <c r="K50" s="266">
        <f>SUM(K46:K49)</f>
        <v>6</v>
      </c>
      <c r="L50" s="206">
        <f>SUM(L46:L49)</f>
        <v>9</v>
      </c>
    </row>
    <row r="51" spans="1:12" ht="15" customHeight="1" x14ac:dyDescent="0.25">
      <c r="A51" s="133"/>
      <c r="B51" s="133"/>
      <c r="C51" s="133"/>
      <c r="D51" s="134" t="s">
        <v>40</v>
      </c>
      <c r="E51" s="135"/>
      <c r="F51" s="136"/>
      <c r="G51" s="136"/>
      <c r="H51" s="185"/>
      <c r="I51" s="136"/>
      <c r="J51" s="136"/>
      <c r="K51" s="206">
        <f>SUM(K27,K32,K50)</f>
        <v>23</v>
      </c>
      <c r="L51" s="206">
        <f>(L27+L32+K41+L50)</f>
        <v>49</v>
      </c>
    </row>
    <row r="52" spans="1:12" ht="18" customHeight="1" x14ac:dyDescent="0.25">
      <c r="A52" s="133"/>
      <c r="B52" s="133"/>
      <c r="C52" s="133"/>
      <c r="D52" s="134"/>
      <c r="E52" s="135"/>
      <c r="F52" s="136"/>
      <c r="G52" s="136"/>
      <c r="H52" s="185"/>
      <c r="I52" s="136"/>
      <c r="J52" s="136"/>
      <c r="K52" s="137"/>
      <c r="L52" s="137"/>
    </row>
    <row r="53" spans="1:12" ht="14.25" customHeight="1" x14ac:dyDescent="0.3">
      <c r="A53" s="440" t="s">
        <v>41</v>
      </c>
      <c r="B53" s="431"/>
      <c r="C53" s="431"/>
      <c r="D53" s="27"/>
      <c r="E53" s="27"/>
      <c r="F53" s="27"/>
      <c r="G53" s="27"/>
      <c r="H53" s="178" t="s">
        <v>42</v>
      </c>
      <c r="I53" s="6"/>
      <c r="J53" s="6"/>
      <c r="K53" s="6"/>
      <c r="L53" s="5"/>
    </row>
    <row r="54" spans="1:12" ht="14.25" customHeight="1" x14ac:dyDescent="0.25">
      <c r="A54" s="28"/>
      <c r="B54" s="28"/>
      <c r="C54" s="28"/>
      <c r="D54" s="20"/>
      <c r="E54" s="2"/>
      <c r="F54" s="20"/>
      <c r="G54" s="20"/>
      <c r="H54" s="179"/>
      <c r="I54" s="28"/>
      <c r="J54" s="28"/>
      <c r="K54" s="28"/>
      <c r="L54" s="28"/>
    </row>
    <row r="55" spans="1:12" ht="25.5" customHeight="1" x14ac:dyDescent="0.25">
      <c r="A55" s="432" t="s">
        <v>43</v>
      </c>
      <c r="B55" s="431"/>
      <c r="C55" s="431"/>
      <c r="D55" s="27"/>
      <c r="E55" s="27"/>
      <c r="F55" s="27"/>
      <c r="G55" s="27"/>
      <c r="H55" s="433" t="s">
        <v>44</v>
      </c>
      <c r="I55" s="434"/>
      <c r="J55" s="434"/>
      <c r="K55" s="434"/>
      <c r="L55" s="434"/>
    </row>
    <row r="56" spans="1:12" ht="14.25" customHeight="1" x14ac:dyDescent="0.25">
      <c r="A56" s="435" t="s">
        <v>45</v>
      </c>
      <c r="B56" s="431"/>
      <c r="C56" s="431"/>
      <c r="D56" s="27"/>
      <c r="E56" s="27"/>
      <c r="F56" s="27"/>
      <c r="G56" s="27"/>
      <c r="H56" s="435" t="s">
        <v>46</v>
      </c>
      <c r="I56" s="431"/>
      <c r="J56" s="431"/>
      <c r="K56" s="431"/>
      <c r="L56" s="431"/>
    </row>
    <row r="57" spans="1:12" ht="14.25" customHeight="1" x14ac:dyDescent="0.25">
      <c r="A57" s="20"/>
      <c r="B57" s="20"/>
      <c r="C57" s="20"/>
      <c r="D57" s="20"/>
      <c r="E57" s="2"/>
      <c r="F57" s="20"/>
      <c r="G57" s="20"/>
      <c r="H57" s="180"/>
      <c r="I57" s="20"/>
      <c r="J57" s="20"/>
      <c r="K57" s="20"/>
      <c r="L57" s="20"/>
    </row>
    <row r="58" spans="1:12" ht="14.25" customHeight="1" x14ac:dyDescent="0.25">
      <c r="A58" s="20"/>
      <c r="B58" s="20"/>
      <c r="C58" s="200"/>
      <c r="D58" s="436" t="s">
        <v>192</v>
      </c>
      <c r="E58" s="437"/>
      <c r="F58" s="437"/>
      <c r="G58" s="437"/>
      <c r="H58" s="437"/>
      <c r="I58" s="437"/>
      <c r="J58" s="20"/>
      <c r="K58" s="20"/>
      <c r="L58" s="20"/>
    </row>
    <row r="59" spans="1:12" ht="14.25" customHeight="1" x14ac:dyDescent="0.25">
      <c r="A59" s="200"/>
      <c r="B59" s="200"/>
      <c r="C59" s="20"/>
      <c r="D59" s="433" t="s">
        <v>47</v>
      </c>
      <c r="E59" s="434"/>
      <c r="F59" s="434"/>
      <c r="G59" s="434"/>
      <c r="H59" s="434"/>
      <c r="I59" s="434"/>
      <c r="J59" s="20"/>
      <c r="K59" s="20"/>
      <c r="L59" s="20"/>
    </row>
    <row r="60" spans="1:12" ht="14.25" customHeight="1" x14ac:dyDescent="0.25">
      <c r="A60" s="10" t="s">
        <v>48</v>
      </c>
      <c r="B60" s="20"/>
      <c r="C60" s="20"/>
      <c r="D60" s="430"/>
      <c r="E60" s="431"/>
      <c r="F60" s="431"/>
      <c r="G60" s="431"/>
      <c r="H60" s="431"/>
      <c r="I60" s="431"/>
      <c r="J60" s="29"/>
      <c r="K60" s="20"/>
      <c r="L60" s="20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</sheetData>
  <mergeCells count="104">
    <mergeCell ref="B48:C48"/>
    <mergeCell ref="B49:C49"/>
    <mergeCell ref="B18:C18"/>
    <mergeCell ref="J21:J22"/>
    <mergeCell ref="K21:K22"/>
    <mergeCell ref="L21:L22"/>
    <mergeCell ref="I25:I26"/>
    <mergeCell ref="J25:J26"/>
    <mergeCell ref="K25:K26"/>
    <mergeCell ref="L25:L26"/>
    <mergeCell ref="L19:L20"/>
    <mergeCell ref="A19:A20"/>
    <mergeCell ref="B19:C20"/>
    <mergeCell ref="I19:I20"/>
    <mergeCell ref="J19:J20"/>
    <mergeCell ref="K19:K20"/>
    <mergeCell ref="G19:G20"/>
    <mergeCell ref="H19:H20"/>
    <mergeCell ref="A23:A24"/>
    <mergeCell ref="B23:C24"/>
    <mergeCell ref="H23:H24"/>
    <mergeCell ref="G23:G24"/>
    <mergeCell ref="I23:I24"/>
    <mergeCell ref="A21:A22"/>
    <mergeCell ref="B21:C22"/>
    <mergeCell ref="G21:G22"/>
    <mergeCell ref="H21:H22"/>
    <mergeCell ref="I21:I22"/>
    <mergeCell ref="D60:I60"/>
    <mergeCell ref="D58:I58"/>
    <mergeCell ref="H55:L55"/>
    <mergeCell ref="A56:C56"/>
    <mergeCell ref="H56:L56"/>
    <mergeCell ref="D59:I59"/>
    <mergeCell ref="A55:C55"/>
    <mergeCell ref="A53:C53"/>
    <mergeCell ref="K46:K47"/>
    <mergeCell ref="L46:L47"/>
    <mergeCell ref="H46:H47"/>
    <mergeCell ref="I46:I47"/>
    <mergeCell ref="J46:J47"/>
    <mergeCell ref="G46:G47"/>
    <mergeCell ref="K41:L41"/>
    <mergeCell ref="K42:L42"/>
    <mergeCell ref="A44:A45"/>
    <mergeCell ref="B44:C45"/>
    <mergeCell ref="D44:D45"/>
    <mergeCell ref="E44:E45"/>
    <mergeCell ref="F44:F45"/>
    <mergeCell ref="G44:G45"/>
    <mergeCell ref="H44:H45"/>
    <mergeCell ref="K34:L35"/>
    <mergeCell ref="G36:J40"/>
    <mergeCell ref="A38:C38"/>
    <mergeCell ref="D38:F38"/>
    <mergeCell ref="A39:C39"/>
    <mergeCell ref="D39:F39"/>
    <mergeCell ref="A40:C40"/>
    <mergeCell ref="D40:F40"/>
    <mergeCell ref="K40:L40"/>
    <mergeCell ref="A37:C37"/>
    <mergeCell ref="A36:C36"/>
    <mergeCell ref="K37:L37"/>
    <mergeCell ref="K38:L38"/>
    <mergeCell ref="K39:L39"/>
    <mergeCell ref="K36:L36"/>
    <mergeCell ref="D37:F37"/>
    <mergeCell ref="B27:C27"/>
    <mergeCell ref="A25:A26"/>
    <mergeCell ref="B25:C26"/>
    <mergeCell ref="G25:G26"/>
    <mergeCell ref="H25:H26"/>
    <mergeCell ref="J23:J24"/>
    <mergeCell ref="K23:K24"/>
    <mergeCell ref="L23:L24"/>
    <mergeCell ref="A29:A30"/>
    <mergeCell ref="B29:C30"/>
    <mergeCell ref="A31:C31"/>
    <mergeCell ref="A34:C35"/>
    <mergeCell ref="A50:C50"/>
    <mergeCell ref="A46:A47"/>
    <mergeCell ref="B46:C47"/>
    <mergeCell ref="D36:F36"/>
    <mergeCell ref="D34:F35"/>
    <mergeCell ref="G34:J35"/>
    <mergeCell ref="D29:D30"/>
    <mergeCell ref="E29:G30"/>
    <mergeCell ref="H29:H30"/>
    <mergeCell ref="E31:G31"/>
    <mergeCell ref="A7:L7"/>
    <mergeCell ref="A2:L2"/>
    <mergeCell ref="A3:L3"/>
    <mergeCell ref="A4:L4"/>
    <mergeCell ref="A5:L5"/>
    <mergeCell ref="A6:L6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</mergeCells>
  <pageMargins left="0.5" right="0.25" top="0.25" bottom="0.25" header="0" footer="0"/>
  <pageSetup paperSize="5"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93"/>
  <sheetViews>
    <sheetView topLeftCell="A40" zoomScale="115" zoomScaleNormal="115" workbookViewId="0">
      <selection activeCell="G19" sqref="G19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58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2" ht="25.5" customHeight="1" x14ac:dyDescent="0.25">
      <c r="A18" s="335" t="s">
        <v>93</v>
      </c>
      <c r="B18" s="621" t="s">
        <v>94</v>
      </c>
      <c r="C18" s="621"/>
      <c r="D18" s="126" t="s">
        <v>97</v>
      </c>
      <c r="E18" s="127" t="s">
        <v>99</v>
      </c>
      <c r="F18" s="322" t="s">
        <v>80</v>
      </c>
      <c r="G18" s="322" t="s">
        <v>177</v>
      </c>
      <c r="H18" s="322">
        <v>40</v>
      </c>
      <c r="I18" s="322">
        <v>3</v>
      </c>
      <c r="J18" s="322">
        <v>0</v>
      </c>
      <c r="K18" s="322">
        <v>3</v>
      </c>
      <c r="L18" s="333">
        <v>3</v>
      </c>
    </row>
    <row r="19" spans="1:12" s="99" customFormat="1" ht="25.5" customHeight="1" thickBot="1" x14ac:dyDescent="0.3">
      <c r="A19" s="332" t="s">
        <v>93</v>
      </c>
      <c r="B19" s="622" t="s">
        <v>94</v>
      </c>
      <c r="C19" s="622"/>
      <c r="D19" s="124" t="s">
        <v>89</v>
      </c>
      <c r="E19" s="125" t="s">
        <v>79</v>
      </c>
      <c r="F19" s="330" t="s">
        <v>80</v>
      </c>
      <c r="G19" s="330" t="s">
        <v>176</v>
      </c>
      <c r="H19" s="330">
        <v>40</v>
      </c>
      <c r="I19" s="330">
        <v>3</v>
      </c>
      <c r="J19" s="330">
        <v>0</v>
      </c>
      <c r="K19" s="330">
        <v>3</v>
      </c>
      <c r="L19" s="331">
        <v>3</v>
      </c>
    </row>
    <row r="20" spans="1:12" ht="14.25" customHeight="1" x14ac:dyDescent="0.25">
      <c r="A20" s="111"/>
      <c r="B20" s="523"/>
      <c r="C20" s="523"/>
      <c r="D20" s="111"/>
      <c r="E20" s="4" t="s">
        <v>29</v>
      </c>
      <c r="F20" s="10"/>
      <c r="G20" s="10"/>
      <c r="H20" s="173"/>
      <c r="I20" s="11"/>
      <c r="J20" s="11"/>
      <c r="K20" s="12">
        <f>SUM(K18:K19)</f>
        <v>6</v>
      </c>
      <c r="L20" s="12">
        <f>SUM(L18:L19)</f>
        <v>6</v>
      </c>
    </row>
    <row r="21" spans="1:12" ht="14.25" customHeight="1" thickBot="1" x14ac:dyDescent="0.3">
      <c r="A21" s="7" t="s">
        <v>30</v>
      </c>
      <c r="B21" s="8"/>
      <c r="E21" s="2"/>
    </row>
    <row r="22" spans="1:12" ht="14.25" customHeight="1" x14ac:dyDescent="0.25">
      <c r="A22" s="567" t="s">
        <v>13</v>
      </c>
      <c r="B22" s="480" t="s">
        <v>14</v>
      </c>
      <c r="C22" s="494"/>
      <c r="D22" s="571" t="s">
        <v>15</v>
      </c>
      <c r="E22" s="480" t="s">
        <v>16</v>
      </c>
      <c r="F22" s="493"/>
      <c r="G22" s="494"/>
      <c r="H22" s="574" t="s">
        <v>19</v>
      </c>
      <c r="I22" s="65" t="s">
        <v>20</v>
      </c>
      <c r="J22" s="65" t="s">
        <v>20</v>
      </c>
      <c r="K22" s="65" t="s">
        <v>21</v>
      </c>
      <c r="L22" s="66" t="s">
        <v>22</v>
      </c>
    </row>
    <row r="23" spans="1:12" ht="14.25" customHeight="1" x14ac:dyDescent="0.25">
      <c r="A23" s="626"/>
      <c r="B23" s="482"/>
      <c r="C23" s="472"/>
      <c r="D23" s="529"/>
      <c r="E23" s="482"/>
      <c r="F23" s="437"/>
      <c r="G23" s="472"/>
      <c r="H23" s="531"/>
      <c r="I23" s="15" t="s">
        <v>23</v>
      </c>
      <c r="J23" s="15" t="s">
        <v>24</v>
      </c>
      <c r="K23" s="15" t="s">
        <v>25</v>
      </c>
      <c r="L23" s="128" t="s">
        <v>26</v>
      </c>
    </row>
    <row r="24" spans="1:12" ht="14.25" customHeight="1" thickBot="1" x14ac:dyDescent="0.3">
      <c r="A24" s="625" t="s">
        <v>52</v>
      </c>
      <c r="B24" s="455"/>
      <c r="C24" s="456"/>
      <c r="D24" s="104"/>
      <c r="E24" s="521"/>
      <c r="F24" s="458"/>
      <c r="G24" s="459"/>
      <c r="H24" s="109"/>
      <c r="I24" s="104"/>
      <c r="J24" s="104"/>
      <c r="K24" s="104"/>
      <c r="L24" s="67">
        <v>15</v>
      </c>
    </row>
    <row r="25" spans="1:12" ht="14.25" customHeight="1" x14ac:dyDescent="0.25">
      <c r="D25" s="10" t="s">
        <v>31</v>
      </c>
      <c r="E25" s="17"/>
      <c r="F25" s="11"/>
      <c r="G25" s="11"/>
      <c r="H25" s="173"/>
      <c r="I25" s="11"/>
      <c r="K25" s="32">
        <f>SUM(K24)</f>
        <v>0</v>
      </c>
      <c r="L25" s="32">
        <f>SUM(L24)</f>
        <v>15</v>
      </c>
    </row>
    <row r="26" spans="1:12" ht="14.25" customHeight="1" thickBot="1" x14ac:dyDescent="0.3">
      <c r="A26" s="7" t="s">
        <v>32</v>
      </c>
      <c r="B26" s="18"/>
      <c r="C26" s="19"/>
      <c r="D26" s="19"/>
      <c r="E26" s="2"/>
      <c r="F26" s="19"/>
      <c r="G26" s="19"/>
      <c r="H26" s="175"/>
      <c r="I26" s="19"/>
      <c r="J26" s="19"/>
      <c r="K26" s="19"/>
      <c r="L26" s="19"/>
    </row>
    <row r="27" spans="1:12" ht="14.25" customHeight="1" x14ac:dyDescent="0.25">
      <c r="A27" s="492" t="s">
        <v>15</v>
      </c>
      <c r="B27" s="493"/>
      <c r="C27" s="494"/>
      <c r="D27" s="480" t="s">
        <v>16</v>
      </c>
      <c r="E27" s="493"/>
      <c r="F27" s="494"/>
      <c r="G27" s="480" t="s">
        <v>33</v>
      </c>
      <c r="H27" s="493"/>
      <c r="I27" s="493"/>
      <c r="J27" s="494"/>
      <c r="K27" s="480" t="s">
        <v>34</v>
      </c>
      <c r="L27" s="481"/>
    </row>
    <row r="28" spans="1:12" ht="14.25" customHeight="1" thickBot="1" x14ac:dyDescent="0.3">
      <c r="A28" s="538"/>
      <c r="B28" s="458"/>
      <c r="C28" s="459"/>
      <c r="D28" s="521"/>
      <c r="E28" s="458"/>
      <c r="F28" s="459"/>
      <c r="G28" s="521"/>
      <c r="H28" s="458"/>
      <c r="I28" s="458"/>
      <c r="J28" s="459"/>
      <c r="K28" s="521"/>
      <c r="L28" s="522"/>
    </row>
    <row r="29" spans="1:12" s="79" customFormat="1" ht="14.25" customHeight="1" x14ac:dyDescent="0.25">
      <c r="A29" s="471" t="s">
        <v>28</v>
      </c>
      <c r="B29" s="437"/>
      <c r="C29" s="472"/>
      <c r="D29" s="473" t="s">
        <v>214</v>
      </c>
      <c r="E29" s="437"/>
      <c r="F29" s="472"/>
      <c r="G29" s="465" t="s">
        <v>76</v>
      </c>
      <c r="H29" s="466"/>
      <c r="I29" s="466"/>
      <c r="J29" s="467"/>
      <c r="K29" s="474">
        <v>6</v>
      </c>
      <c r="L29" s="475"/>
    </row>
    <row r="30" spans="1:12" ht="14.25" customHeight="1" x14ac:dyDescent="0.25">
      <c r="A30" s="476" t="s">
        <v>38</v>
      </c>
      <c r="B30" s="453"/>
      <c r="C30" s="477"/>
      <c r="D30" s="473" t="s">
        <v>214</v>
      </c>
      <c r="E30" s="437"/>
      <c r="F30" s="472"/>
      <c r="G30" s="465"/>
      <c r="H30" s="466"/>
      <c r="I30" s="466"/>
      <c r="J30" s="467"/>
      <c r="K30" s="478">
        <v>6</v>
      </c>
      <c r="L30" s="479"/>
    </row>
    <row r="31" spans="1:12" s="79" customFormat="1" ht="14.25" customHeight="1" thickBot="1" x14ac:dyDescent="0.3">
      <c r="A31" s="454" t="s">
        <v>50</v>
      </c>
      <c r="B31" s="455"/>
      <c r="C31" s="456"/>
      <c r="D31" s="457" t="s">
        <v>215</v>
      </c>
      <c r="E31" s="458"/>
      <c r="F31" s="459"/>
      <c r="G31" s="468"/>
      <c r="H31" s="469"/>
      <c r="I31" s="469"/>
      <c r="J31" s="470"/>
      <c r="K31" s="460">
        <v>7</v>
      </c>
      <c r="L31" s="461"/>
    </row>
    <row r="32" spans="1:12" ht="14.25" customHeight="1" x14ac:dyDescent="0.25">
      <c r="A32" s="139"/>
      <c r="B32" s="140"/>
      <c r="C32" s="140"/>
      <c r="D32" s="141" t="s">
        <v>35</v>
      </c>
      <c r="E32" s="142"/>
      <c r="F32" s="143"/>
      <c r="G32" s="143"/>
      <c r="H32" s="182"/>
      <c r="I32" s="143"/>
      <c r="J32" s="133"/>
      <c r="K32" s="451">
        <f>SUM(K29:L31)</f>
        <v>19</v>
      </c>
      <c r="L32" s="475"/>
    </row>
    <row r="33" spans="1:12" ht="14.25" customHeight="1" x14ac:dyDescent="0.25">
      <c r="A33" s="139"/>
      <c r="B33" s="140"/>
      <c r="C33" s="140"/>
      <c r="D33" s="141" t="s">
        <v>36</v>
      </c>
      <c r="E33" s="142"/>
      <c r="F33" s="143"/>
      <c r="G33" s="143"/>
      <c r="H33" s="182"/>
      <c r="I33" s="143"/>
      <c r="J33" s="144"/>
      <c r="K33" s="452">
        <f>L20+L25+K32</f>
        <v>40</v>
      </c>
      <c r="L33" s="479"/>
    </row>
    <row r="34" spans="1:12" ht="14.25" customHeight="1" thickBot="1" x14ac:dyDescent="0.3">
      <c r="A34" s="151" t="s">
        <v>37</v>
      </c>
      <c r="B34" s="152"/>
      <c r="C34" s="144"/>
      <c r="D34" s="137"/>
      <c r="E34" s="153"/>
      <c r="F34" s="137"/>
      <c r="G34" s="137"/>
      <c r="H34" s="187"/>
      <c r="I34" s="137"/>
      <c r="J34" s="137"/>
      <c r="K34" s="154"/>
      <c r="L34" s="155"/>
    </row>
    <row r="35" spans="1:12" x14ac:dyDescent="0.25">
      <c r="A35" s="446" t="s">
        <v>13</v>
      </c>
      <c r="B35" s="448" t="s">
        <v>14</v>
      </c>
      <c r="C35" s="449"/>
      <c r="D35" s="448" t="s">
        <v>15</v>
      </c>
      <c r="E35" s="450" t="s">
        <v>16</v>
      </c>
      <c r="F35" s="448" t="s">
        <v>17</v>
      </c>
      <c r="G35" s="448" t="s">
        <v>18</v>
      </c>
      <c r="H35" s="441" t="s">
        <v>19</v>
      </c>
      <c r="I35" s="49" t="s">
        <v>20</v>
      </c>
      <c r="J35" s="49" t="s">
        <v>20</v>
      </c>
      <c r="K35" s="49" t="s">
        <v>21</v>
      </c>
      <c r="L35" s="50" t="s">
        <v>22</v>
      </c>
    </row>
    <row r="36" spans="1:12" ht="15.75" thickBot="1" x14ac:dyDescent="0.3">
      <c r="A36" s="447"/>
      <c r="B36" s="442"/>
      <c r="C36" s="442"/>
      <c r="D36" s="442"/>
      <c r="E36" s="442"/>
      <c r="F36" s="442"/>
      <c r="G36" s="442"/>
      <c r="H36" s="442"/>
      <c r="I36" s="51" t="s">
        <v>23</v>
      </c>
      <c r="J36" s="51" t="s">
        <v>24</v>
      </c>
      <c r="K36" s="51" t="s">
        <v>25</v>
      </c>
      <c r="L36" s="52" t="s">
        <v>26</v>
      </c>
    </row>
    <row r="37" spans="1:12" s="111" customFormat="1" ht="25.5" customHeight="1" x14ac:dyDescent="0.25">
      <c r="A37" s="420" t="s">
        <v>93</v>
      </c>
      <c r="B37" s="621" t="s">
        <v>94</v>
      </c>
      <c r="C37" s="621"/>
      <c r="D37" s="126" t="s">
        <v>97</v>
      </c>
      <c r="E37" s="803" t="s">
        <v>98</v>
      </c>
      <c r="F37" s="418" t="s">
        <v>80</v>
      </c>
      <c r="G37" s="406" t="s">
        <v>175</v>
      </c>
      <c r="H37" s="418">
        <v>40</v>
      </c>
      <c r="I37" s="418">
        <v>3</v>
      </c>
      <c r="J37" s="418">
        <v>0</v>
      </c>
      <c r="K37" s="418">
        <v>3</v>
      </c>
      <c r="L37" s="419">
        <v>3</v>
      </c>
    </row>
    <row r="38" spans="1:12" s="111" customFormat="1" ht="27.75" customHeight="1" x14ac:dyDescent="0.25">
      <c r="A38" s="329" t="s">
        <v>93</v>
      </c>
      <c r="B38" s="623" t="s">
        <v>94</v>
      </c>
      <c r="C38" s="623"/>
      <c r="D38" s="113" t="s">
        <v>95</v>
      </c>
      <c r="E38" s="115" t="s">
        <v>96</v>
      </c>
      <c r="F38" s="327" t="s">
        <v>80</v>
      </c>
      <c r="G38" s="277" t="s">
        <v>174</v>
      </c>
      <c r="H38" s="327">
        <v>40</v>
      </c>
      <c r="I38" s="327">
        <v>3</v>
      </c>
      <c r="J38" s="327">
        <v>0</v>
      </c>
      <c r="K38" s="327">
        <v>3</v>
      </c>
      <c r="L38" s="328">
        <v>3</v>
      </c>
    </row>
    <row r="39" spans="1:12" s="321" customFormat="1" ht="27.75" customHeight="1" x14ac:dyDescent="0.25">
      <c r="A39" s="362" t="s">
        <v>210</v>
      </c>
      <c r="B39" s="557" t="s">
        <v>211</v>
      </c>
      <c r="C39" s="557"/>
      <c r="D39" s="207" t="s">
        <v>159</v>
      </c>
      <c r="E39" s="82" t="s">
        <v>158</v>
      </c>
      <c r="F39" s="361" t="s">
        <v>209</v>
      </c>
      <c r="G39" s="364" t="s">
        <v>219</v>
      </c>
      <c r="H39" s="207">
        <v>40</v>
      </c>
      <c r="I39" s="207">
        <v>3</v>
      </c>
      <c r="J39" s="207">
        <v>3</v>
      </c>
      <c r="K39" s="207">
        <v>3</v>
      </c>
      <c r="L39" s="208">
        <v>3</v>
      </c>
    </row>
    <row r="40" spans="1:12" s="111" customFormat="1" ht="26.25" customHeight="1" thickBot="1" x14ac:dyDescent="0.3">
      <c r="A40" s="255" t="s">
        <v>210</v>
      </c>
      <c r="B40" s="624" t="s">
        <v>211</v>
      </c>
      <c r="C40" s="624"/>
      <c r="D40" s="209" t="s">
        <v>159</v>
      </c>
      <c r="E40" s="83" t="s">
        <v>213</v>
      </c>
      <c r="F40" s="363" t="s">
        <v>209</v>
      </c>
      <c r="G40" s="365" t="s">
        <v>212</v>
      </c>
      <c r="H40" s="209">
        <v>40</v>
      </c>
      <c r="I40" s="209">
        <v>3</v>
      </c>
      <c r="J40" s="209">
        <v>3</v>
      </c>
      <c r="K40" s="209">
        <v>3</v>
      </c>
      <c r="L40" s="212">
        <v>3</v>
      </c>
    </row>
    <row r="41" spans="1:12" x14ac:dyDescent="0.25">
      <c r="A41" s="523"/>
      <c r="B41" s="431"/>
      <c r="C41" s="431"/>
      <c r="D41" s="4" t="s">
        <v>39</v>
      </c>
      <c r="E41" s="22"/>
      <c r="F41" s="21"/>
      <c r="G41" s="21"/>
      <c r="H41" s="176"/>
      <c r="I41" s="21"/>
      <c r="J41" s="21"/>
      <c r="K41" s="32">
        <f>SUM(K37:K40)</f>
        <v>12</v>
      </c>
      <c r="L41" s="32">
        <f>SUM(L37:L40)</f>
        <v>12</v>
      </c>
    </row>
    <row r="42" spans="1:12" x14ac:dyDescent="0.25">
      <c r="A42" s="20"/>
      <c r="B42" s="20"/>
      <c r="C42" s="20"/>
      <c r="D42" s="4" t="s">
        <v>40</v>
      </c>
      <c r="E42" s="25"/>
      <c r="F42" s="26"/>
      <c r="G42" s="26"/>
      <c r="H42" s="177"/>
      <c r="I42" s="26"/>
      <c r="J42" s="26"/>
      <c r="K42" s="32">
        <f>SUM(K20,K25,K41)</f>
        <v>18</v>
      </c>
      <c r="L42" s="32">
        <f>(L20+L25+K32+L41)</f>
        <v>52</v>
      </c>
    </row>
    <row r="43" spans="1:12" x14ac:dyDescent="0.25">
      <c r="A43" s="20"/>
      <c r="B43" s="20"/>
      <c r="C43" s="20"/>
      <c r="D43" s="4"/>
      <c r="E43" s="25"/>
      <c r="F43" s="26"/>
      <c r="G43" s="26"/>
      <c r="H43" s="177"/>
      <c r="I43" s="26"/>
      <c r="J43" s="26"/>
      <c r="K43" s="21"/>
      <c r="L43" s="21"/>
    </row>
    <row r="44" spans="1:12" ht="16.5" x14ac:dyDescent="0.3">
      <c r="A44" s="440" t="s">
        <v>41</v>
      </c>
      <c r="B44" s="431"/>
      <c r="C44" s="431"/>
      <c r="D44" s="27"/>
      <c r="E44" s="27"/>
      <c r="F44" s="27"/>
      <c r="G44" s="27"/>
      <c r="H44" s="178" t="s">
        <v>42</v>
      </c>
      <c r="I44" s="6"/>
      <c r="J44" s="6"/>
      <c r="K44" s="6"/>
      <c r="L44" s="5"/>
    </row>
    <row r="45" spans="1:12" ht="14.25" customHeight="1" x14ac:dyDescent="0.25">
      <c r="A45" s="28"/>
      <c r="B45" s="28"/>
      <c r="C45" s="28"/>
      <c r="D45" s="20"/>
      <c r="E45" s="2"/>
      <c r="F45" s="20"/>
      <c r="G45" s="20"/>
      <c r="H45" s="179"/>
      <c r="I45" s="28"/>
      <c r="J45" s="28"/>
      <c r="K45" s="28"/>
      <c r="L45" s="28"/>
    </row>
    <row r="46" spans="1:12" ht="14.25" customHeight="1" x14ac:dyDescent="0.25">
      <c r="A46" s="432" t="s">
        <v>43</v>
      </c>
      <c r="B46" s="431"/>
      <c r="C46" s="431"/>
      <c r="D46" s="27"/>
      <c r="E46" s="27"/>
      <c r="F46" s="27"/>
      <c r="G46" s="27"/>
      <c r="H46" s="433" t="s">
        <v>44</v>
      </c>
      <c r="I46" s="434"/>
      <c r="J46" s="434"/>
      <c r="K46" s="434"/>
      <c r="L46" s="434"/>
    </row>
    <row r="47" spans="1:12" ht="14.25" customHeight="1" x14ac:dyDescent="0.25">
      <c r="A47" s="435" t="s">
        <v>45</v>
      </c>
      <c r="B47" s="431"/>
      <c r="C47" s="431"/>
      <c r="D47" s="27"/>
      <c r="E47" s="27"/>
      <c r="F47" s="27"/>
      <c r="G47" s="27"/>
      <c r="H47" s="435" t="s">
        <v>46</v>
      </c>
      <c r="I47" s="431"/>
      <c r="J47" s="431"/>
      <c r="K47" s="431"/>
      <c r="L47" s="431"/>
    </row>
    <row r="48" spans="1:12" ht="6" customHeight="1" x14ac:dyDescent="0.25">
      <c r="A48" s="20"/>
      <c r="B48" s="20"/>
      <c r="C48" s="20"/>
      <c r="D48" s="20"/>
      <c r="E48" s="2"/>
      <c r="F48" s="20"/>
      <c r="G48" s="20"/>
      <c r="H48" s="180"/>
      <c r="I48" s="20"/>
      <c r="J48" s="20"/>
      <c r="K48" s="20"/>
      <c r="L48" s="20"/>
    </row>
    <row r="49" spans="1:12" ht="18" customHeight="1" x14ac:dyDescent="0.25">
      <c r="A49" s="20"/>
      <c r="B49" s="20"/>
      <c r="D49" s="436" t="s">
        <v>192</v>
      </c>
      <c r="E49" s="437"/>
      <c r="F49" s="437"/>
      <c r="G49" s="437"/>
      <c r="H49" s="437"/>
      <c r="I49" s="437"/>
      <c r="J49" s="20"/>
      <c r="K49" s="20"/>
      <c r="L49" s="20"/>
    </row>
    <row r="50" spans="1:12" ht="14.25" customHeight="1" x14ac:dyDescent="0.25">
      <c r="C50" s="20"/>
      <c r="D50" s="433" t="s">
        <v>47</v>
      </c>
      <c r="E50" s="434"/>
      <c r="F50" s="434"/>
      <c r="G50" s="434"/>
      <c r="H50" s="434"/>
      <c r="I50" s="434"/>
      <c r="J50" s="20"/>
      <c r="K50" s="20"/>
      <c r="L50" s="20"/>
    </row>
    <row r="51" spans="1:12" ht="14.25" customHeight="1" x14ac:dyDescent="0.25">
      <c r="A51" s="10" t="s">
        <v>48</v>
      </c>
      <c r="B51" s="20"/>
      <c r="C51" s="20"/>
      <c r="D51" s="430"/>
      <c r="E51" s="431"/>
      <c r="F51" s="431"/>
      <c r="G51" s="431"/>
      <c r="H51" s="431"/>
      <c r="I51" s="431"/>
      <c r="J51" s="29"/>
      <c r="K51" s="20"/>
      <c r="L51" s="20"/>
    </row>
    <row r="52" spans="1:12" ht="2.25" customHeight="1" x14ac:dyDescent="0.25">
      <c r="A52" s="564"/>
      <c r="B52" s="431"/>
      <c r="C52" s="431"/>
      <c r="D52" s="54"/>
      <c r="E52" s="31"/>
      <c r="F52" s="54"/>
      <c r="G52" s="54"/>
      <c r="H52" s="181"/>
      <c r="I52" s="563"/>
      <c r="J52" s="431"/>
      <c r="K52" s="563"/>
      <c r="L52" s="431"/>
    </row>
    <row r="53" spans="1:12" ht="14.25" customHeight="1" x14ac:dyDescent="0.25">
      <c r="E53" s="2"/>
    </row>
    <row r="54" spans="1:12" ht="14.25" customHeight="1" x14ac:dyDescent="0.25">
      <c r="E54" s="2"/>
    </row>
    <row r="55" spans="1:12" ht="14.25" customHeight="1" x14ac:dyDescent="0.25">
      <c r="E55" s="2"/>
    </row>
    <row r="56" spans="1:12" ht="14.25" customHeight="1" x14ac:dyDescent="0.25">
      <c r="E56" s="2"/>
    </row>
    <row r="57" spans="1:12" ht="14.25" customHeight="1" x14ac:dyDescent="0.25">
      <c r="E57" s="2"/>
    </row>
    <row r="58" spans="1:12" ht="14.25" customHeight="1" x14ac:dyDescent="0.25">
      <c r="E58" s="2"/>
      <c r="H58" s="53"/>
    </row>
    <row r="59" spans="1:12" ht="14.25" customHeight="1" x14ac:dyDescent="0.25">
      <c r="E59" s="2"/>
      <c r="H59" s="53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</sheetData>
  <mergeCells count="64">
    <mergeCell ref="K27:L28"/>
    <mergeCell ref="B20:C20"/>
    <mergeCell ref="A22:A23"/>
    <mergeCell ref="B22:C23"/>
    <mergeCell ref="D22:D23"/>
    <mergeCell ref="B18:C18"/>
    <mergeCell ref="B19:C19"/>
    <mergeCell ref="B37:C37"/>
    <mergeCell ref="B40:C40"/>
    <mergeCell ref="H35:H36"/>
    <mergeCell ref="G35:G36"/>
    <mergeCell ref="E22:G23"/>
    <mergeCell ref="H22:H23"/>
    <mergeCell ref="B39:C39"/>
    <mergeCell ref="B38:C38"/>
    <mergeCell ref="A24:C24"/>
    <mergeCell ref="E24:G24"/>
    <mergeCell ref="A27:C28"/>
    <mergeCell ref="D27:F28"/>
    <mergeCell ref="G27:J28"/>
    <mergeCell ref="D29:F29"/>
    <mergeCell ref="A35:A36"/>
    <mergeCell ref="B35:C36"/>
    <mergeCell ref="D35:D36"/>
    <mergeCell ref="E35:E36"/>
    <mergeCell ref="F35:F36"/>
    <mergeCell ref="A52:C52"/>
    <mergeCell ref="I52:J52"/>
    <mergeCell ref="K52:L52"/>
    <mergeCell ref="A41:C41"/>
    <mergeCell ref="A44:C44"/>
    <mergeCell ref="A46:C46"/>
    <mergeCell ref="H46:L46"/>
    <mergeCell ref="A47:C47"/>
    <mergeCell ref="H47:L47"/>
    <mergeCell ref="D49:I49"/>
    <mergeCell ref="D50:I50"/>
    <mergeCell ref="D51:I51"/>
    <mergeCell ref="K32:L32"/>
    <mergeCell ref="K33:L33"/>
    <mergeCell ref="A30:C30"/>
    <mergeCell ref="D30:F30"/>
    <mergeCell ref="K30:L30"/>
    <mergeCell ref="A31:C31"/>
    <mergeCell ref="D31:F31"/>
    <mergeCell ref="K31:L31"/>
    <mergeCell ref="G29:J31"/>
    <mergeCell ref="A29:C29"/>
    <mergeCell ref="K29:L29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7:L7"/>
    <mergeCell ref="A2:L2"/>
    <mergeCell ref="A3:L3"/>
    <mergeCell ref="A4:L4"/>
    <mergeCell ref="A5:L5"/>
    <mergeCell ref="A6:L6"/>
  </mergeCells>
  <pageMargins left="0.5" right="0.25" top="0.25" bottom="0.25" header="0" footer="0"/>
  <pageSetup paperSize="5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997"/>
  <sheetViews>
    <sheetView topLeftCell="A19" zoomScaleNormal="100" workbookViewId="0">
      <selection activeCell="N47" sqref="N47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28" ht="14.25" customHeight="1" x14ac:dyDescent="0.25">
      <c r="A1" s="57" t="s">
        <v>0</v>
      </c>
      <c r="E1" s="2"/>
    </row>
    <row r="2" spans="1:28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28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28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28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28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28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28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28" ht="20.25" customHeight="1" x14ac:dyDescent="0.3">
      <c r="A9" s="496" t="s">
        <v>56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28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28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28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28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28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</row>
    <row r="15" spans="1:28" ht="14.25" customHeight="1" thickBot="1" x14ac:dyDescent="0.3">
      <c r="A15" s="7" t="s">
        <v>12</v>
      </c>
      <c r="B15" s="8"/>
      <c r="E15" s="2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</row>
    <row r="16" spans="1:28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</row>
    <row r="17" spans="1:28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</row>
    <row r="18" spans="1:28" s="99" customFormat="1" ht="14.25" customHeight="1" x14ac:dyDescent="0.25">
      <c r="A18" s="578" t="s">
        <v>108</v>
      </c>
      <c r="B18" s="631" t="s">
        <v>109</v>
      </c>
      <c r="C18" s="631"/>
      <c r="D18" s="126" t="s">
        <v>49</v>
      </c>
      <c r="E18" s="127" t="s">
        <v>79</v>
      </c>
      <c r="F18" s="301" t="s">
        <v>110</v>
      </c>
      <c r="G18" s="566" t="s">
        <v>174</v>
      </c>
      <c r="H18" s="566">
        <v>40</v>
      </c>
      <c r="I18" s="566">
        <v>2</v>
      </c>
      <c r="J18" s="566">
        <v>1</v>
      </c>
      <c r="K18" s="566">
        <v>3</v>
      </c>
      <c r="L18" s="580">
        <v>5</v>
      </c>
    </row>
    <row r="19" spans="1:28" s="99" customFormat="1" ht="14.25" customHeight="1" x14ac:dyDescent="0.25">
      <c r="A19" s="511"/>
      <c r="B19" s="587"/>
      <c r="C19" s="587"/>
      <c r="D19" s="113" t="s">
        <v>49</v>
      </c>
      <c r="E19" s="114" t="s">
        <v>105</v>
      </c>
      <c r="F19" s="300">
        <v>20</v>
      </c>
      <c r="G19" s="513"/>
      <c r="H19" s="513"/>
      <c r="I19" s="513"/>
      <c r="J19" s="513"/>
      <c r="K19" s="513"/>
      <c r="L19" s="514"/>
    </row>
    <row r="20" spans="1:28" s="99" customFormat="1" ht="14.25" customHeight="1" x14ac:dyDescent="0.25">
      <c r="A20" s="627" t="s">
        <v>108</v>
      </c>
      <c r="B20" s="634" t="s">
        <v>109</v>
      </c>
      <c r="C20" s="634"/>
      <c r="D20" s="213" t="s">
        <v>28</v>
      </c>
      <c r="E20" s="214" t="s">
        <v>81</v>
      </c>
      <c r="F20" s="302" t="s">
        <v>110</v>
      </c>
      <c r="G20" s="629" t="s">
        <v>175</v>
      </c>
      <c r="H20" s="629">
        <v>40</v>
      </c>
      <c r="I20" s="629">
        <v>2</v>
      </c>
      <c r="J20" s="629">
        <v>1</v>
      </c>
      <c r="K20" s="629">
        <v>3</v>
      </c>
      <c r="L20" s="632">
        <v>1</v>
      </c>
    </row>
    <row r="21" spans="1:28" s="99" customFormat="1" ht="14.25" customHeight="1" thickBot="1" x14ac:dyDescent="0.3">
      <c r="A21" s="628"/>
      <c r="B21" s="635"/>
      <c r="C21" s="635"/>
      <c r="D21" s="216" t="s">
        <v>27</v>
      </c>
      <c r="E21" s="217" t="s">
        <v>107</v>
      </c>
      <c r="F21" s="303">
        <v>20</v>
      </c>
      <c r="G21" s="630"/>
      <c r="H21" s="630"/>
      <c r="I21" s="630"/>
      <c r="J21" s="630"/>
      <c r="K21" s="630"/>
      <c r="L21" s="633"/>
    </row>
    <row r="22" spans="1:28" ht="14.25" customHeight="1" x14ac:dyDescent="0.25">
      <c r="B22" s="523"/>
      <c r="C22" s="431"/>
      <c r="E22" s="4" t="s">
        <v>29</v>
      </c>
      <c r="F22" s="10"/>
      <c r="G22" s="10"/>
      <c r="H22" s="173"/>
      <c r="I22" s="11"/>
      <c r="J22" s="11"/>
      <c r="K22" s="12">
        <f ca="1">SUM(K18:K42)</f>
        <v>12</v>
      </c>
      <c r="L22" s="12">
        <f>SUM(L18:L21)</f>
        <v>6</v>
      </c>
    </row>
    <row r="23" spans="1:28" ht="14.25" customHeight="1" thickBot="1" x14ac:dyDescent="0.3">
      <c r="A23" s="7" t="s">
        <v>30</v>
      </c>
      <c r="B23" s="8"/>
      <c r="E23" s="2"/>
    </row>
    <row r="24" spans="1:28" ht="14.25" customHeight="1" x14ac:dyDescent="0.25">
      <c r="A24" s="524" t="s">
        <v>13</v>
      </c>
      <c r="B24" s="526" t="s">
        <v>14</v>
      </c>
      <c r="C24" s="527"/>
      <c r="D24" s="528" t="s">
        <v>15</v>
      </c>
      <c r="E24" s="526" t="s">
        <v>16</v>
      </c>
      <c r="F24" s="503"/>
      <c r="G24" s="527"/>
      <c r="H24" s="530" t="s">
        <v>19</v>
      </c>
      <c r="I24" s="13" t="s">
        <v>20</v>
      </c>
      <c r="J24" s="13" t="s">
        <v>20</v>
      </c>
      <c r="K24" s="13" t="s">
        <v>21</v>
      </c>
      <c r="L24" s="14" t="s">
        <v>22</v>
      </c>
    </row>
    <row r="25" spans="1:28" ht="14.25" customHeight="1" x14ac:dyDescent="0.25">
      <c r="A25" s="525"/>
      <c r="B25" s="482"/>
      <c r="C25" s="472"/>
      <c r="D25" s="529"/>
      <c r="E25" s="482"/>
      <c r="F25" s="437"/>
      <c r="G25" s="472"/>
      <c r="H25" s="531"/>
      <c r="I25" s="15" t="s">
        <v>23</v>
      </c>
      <c r="J25" s="15" t="s">
        <v>24</v>
      </c>
      <c r="K25" s="15" t="s">
        <v>25</v>
      </c>
      <c r="L25" s="16" t="s">
        <v>26</v>
      </c>
    </row>
    <row r="26" spans="1:28" ht="14.25" customHeight="1" thickBot="1" x14ac:dyDescent="0.3">
      <c r="A26" s="636" t="s">
        <v>200</v>
      </c>
      <c r="B26" s="637"/>
      <c r="C26" s="638"/>
      <c r="D26" s="45"/>
      <c r="E26" s="598"/>
      <c r="F26" s="599"/>
      <c r="G26" s="600"/>
      <c r="H26" s="174"/>
      <c r="I26" s="45"/>
      <c r="J26" s="45"/>
      <c r="K26" s="45">
        <v>15</v>
      </c>
      <c r="L26" s="46">
        <v>15</v>
      </c>
    </row>
    <row r="27" spans="1:28" ht="14.25" customHeight="1" x14ac:dyDescent="0.25">
      <c r="D27" s="10" t="s">
        <v>31</v>
      </c>
      <c r="E27" s="17"/>
      <c r="F27" s="11"/>
      <c r="G27" s="11"/>
      <c r="H27" s="173"/>
      <c r="I27" s="11"/>
      <c r="K27" s="32">
        <f>SUM(K26)</f>
        <v>15</v>
      </c>
      <c r="L27" s="32">
        <f>SUM(L26)</f>
        <v>15</v>
      </c>
    </row>
    <row r="28" spans="1:28" ht="14.25" customHeight="1" thickBot="1" x14ac:dyDescent="0.3">
      <c r="A28" s="7" t="s">
        <v>32</v>
      </c>
      <c r="B28" s="18"/>
      <c r="C28" s="19"/>
      <c r="D28" s="19"/>
      <c r="E28" s="2"/>
      <c r="F28" s="19"/>
      <c r="G28" s="19"/>
      <c r="H28" s="175"/>
      <c r="I28" s="19"/>
      <c r="J28" s="19"/>
      <c r="K28" s="19"/>
      <c r="L28" s="19"/>
    </row>
    <row r="29" spans="1:28" ht="14.25" customHeight="1" x14ac:dyDescent="0.25">
      <c r="A29" s="492" t="s">
        <v>15</v>
      </c>
      <c r="B29" s="493"/>
      <c r="C29" s="494"/>
      <c r="D29" s="480" t="s">
        <v>16</v>
      </c>
      <c r="E29" s="493"/>
      <c r="F29" s="494"/>
      <c r="G29" s="480" t="s">
        <v>33</v>
      </c>
      <c r="H29" s="493"/>
      <c r="I29" s="493"/>
      <c r="J29" s="494"/>
      <c r="K29" s="480" t="s">
        <v>34</v>
      </c>
      <c r="L29" s="481"/>
    </row>
    <row r="30" spans="1:28" ht="14.25" customHeight="1" x14ac:dyDescent="0.25">
      <c r="A30" s="495"/>
      <c r="B30" s="437"/>
      <c r="C30" s="472"/>
      <c r="D30" s="482"/>
      <c r="E30" s="437"/>
      <c r="F30" s="472"/>
      <c r="G30" s="482"/>
      <c r="H30" s="437"/>
      <c r="I30" s="437"/>
      <c r="J30" s="472"/>
      <c r="K30" s="482"/>
      <c r="L30" s="475"/>
    </row>
    <row r="31" spans="1:28" ht="14.25" customHeight="1" x14ac:dyDescent="0.25">
      <c r="A31" s="471" t="s">
        <v>28</v>
      </c>
      <c r="B31" s="437"/>
      <c r="C31" s="472"/>
      <c r="D31" s="473" t="s">
        <v>72</v>
      </c>
      <c r="E31" s="437"/>
      <c r="F31" s="472"/>
      <c r="G31" s="462" t="s">
        <v>76</v>
      </c>
      <c r="H31" s="463"/>
      <c r="I31" s="463"/>
      <c r="J31" s="464"/>
      <c r="K31" s="474">
        <v>6</v>
      </c>
      <c r="L31" s="475"/>
    </row>
    <row r="32" spans="1:28" s="79" customFormat="1" ht="14.25" customHeight="1" x14ac:dyDescent="0.25">
      <c r="A32" s="476" t="s">
        <v>49</v>
      </c>
      <c r="B32" s="453"/>
      <c r="C32" s="477"/>
      <c r="D32" s="539" t="s">
        <v>73</v>
      </c>
      <c r="E32" s="453"/>
      <c r="F32" s="477"/>
      <c r="G32" s="465"/>
      <c r="H32" s="466"/>
      <c r="I32" s="466"/>
      <c r="J32" s="467"/>
      <c r="K32" s="478">
        <v>4</v>
      </c>
      <c r="L32" s="479"/>
    </row>
    <row r="33" spans="1:12" s="79" customFormat="1" ht="14.25" customHeight="1" x14ac:dyDescent="0.25">
      <c r="A33" s="476" t="s">
        <v>27</v>
      </c>
      <c r="B33" s="453"/>
      <c r="C33" s="477"/>
      <c r="D33" s="539" t="s">
        <v>73</v>
      </c>
      <c r="E33" s="453"/>
      <c r="F33" s="477"/>
      <c r="G33" s="465"/>
      <c r="H33" s="466"/>
      <c r="I33" s="466"/>
      <c r="J33" s="467"/>
      <c r="K33" s="478">
        <v>4</v>
      </c>
      <c r="L33" s="479"/>
    </row>
    <row r="34" spans="1:12" x14ac:dyDescent="0.25">
      <c r="A34" s="476" t="s">
        <v>38</v>
      </c>
      <c r="B34" s="453"/>
      <c r="C34" s="477"/>
      <c r="D34" s="539" t="s">
        <v>74</v>
      </c>
      <c r="E34" s="453"/>
      <c r="F34" s="477"/>
      <c r="G34" s="465"/>
      <c r="H34" s="466"/>
      <c r="I34" s="466"/>
      <c r="J34" s="467"/>
      <c r="K34" s="478">
        <v>1</v>
      </c>
      <c r="L34" s="479"/>
    </row>
    <row r="35" spans="1:12" ht="15.75" thickBot="1" x14ac:dyDescent="0.3">
      <c r="A35" s="454" t="s">
        <v>50</v>
      </c>
      <c r="B35" s="455"/>
      <c r="C35" s="456"/>
      <c r="D35" s="542" t="s">
        <v>73</v>
      </c>
      <c r="E35" s="455"/>
      <c r="F35" s="456"/>
      <c r="G35" s="468"/>
      <c r="H35" s="469"/>
      <c r="I35" s="469"/>
      <c r="J35" s="470"/>
      <c r="K35" s="460">
        <v>4</v>
      </c>
      <c r="L35" s="461"/>
    </row>
    <row r="36" spans="1:12" x14ac:dyDescent="0.25">
      <c r="A36" s="78"/>
      <c r="B36" s="78"/>
      <c r="C36" s="78"/>
      <c r="D36" s="10" t="s">
        <v>35</v>
      </c>
      <c r="E36" s="17"/>
      <c r="F36" s="11"/>
      <c r="G36" s="11"/>
      <c r="H36" s="173"/>
      <c r="I36" s="11"/>
      <c r="J36" s="20"/>
      <c r="K36" s="451">
        <f>SUM(K31:L35)</f>
        <v>19</v>
      </c>
      <c r="L36" s="437"/>
    </row>
    <row r="37" spans="1:12" x14ac:dyDescent="0.25">
      <c r="A37" s="56"/>
      <c r="B37" s="56"/>
      <c r="C37" s="56"/>
      <c r="D37" s="10" t="s">
        <v>36</v>
      </c>
      <c r="E37" s="17"/>
      <c r="F37" s="11"/>
      <c r="G37" s="11"/>
      <c r="H37" s="173"/>
      <c r="I37" s="11"/>
      <c r="K37" s="433">
        <f>L22+L27+K36</f>
        <v>40</v>
      </c>
      <c r="L37" s="434"/>
    </row>
    <row r="38" spans="1:12" ht="17.25" thickBot="1" x14ac:dyDescent="0.3">
      <c r="A38" s="193" t="s">
        <v>37</v>
      </c>
      <c r="B38" s="152"/>
      <c r="C38" s="144"/>
      <c r="D38" s="137"/>
      <c r="E38" s="153"/>
      <c r="F38" s="137"/>
      <c r="G38" s="137"/>
      <c r="H38" s="187"/>
      <c r="I38" s="137"/>
      <c r="J38" s="137"/>
      <c r="K38" s="154"/>
      <c r="L38" s="194"/>
    </row>
    <row r="39" spans="1:12" x14ac:dyDescent="0.25">
      <c r="A39" s="446" t="s">
        <v>13</v>
      </c>
      <c r="B39" s="448" t="s">
        <v>14</v>
      </c>
      <c r="C39" s="449"/>
      <c r="D39" s="448" t="s">
        <v>15</v>
      </c>
      <c r="E39" s="450" t="s">
        <v>16</v>
      </c>
      <c r="F39" s="448" t="s">
        <v>17</v>
      </c>
      <c r="G39" s="448" t="s">
        <v>18</v>
      </c>
      <c r="H39" s="441" t="s">
        <v>19</v>
      </c>
      <c r="I39" s="49" t="s">
        <v>20</v>
      </c>
      <c r="J39" s="49" t="s">
        <v>20</v>
      </c>
      <c r="K39" s="49" t="s">
        <v>21</v>
      </c>
      <c r="L39" s="50" t="s">
        <v>22</v>
      </c>
    </row>
    <row r="40" spans="1:12" x14ac:dyDescent="0.25">
      <c r="A40" s="620"/>
      <c r="B40" s="506"/>
      <c r="C40" s="506"/>
      <c r="D40" s="506"/>
      <c r="E40" s="506"/>
      <c r="F40" s="506"/>
      <c r="G40" s="506"/>
      <c r="H40" s="506"/>
      <c r="I40" s="190" t="s">
        <v>23</v>
      </c>
      <c r="J40" s="190" t="s">
        <v>24</v>
      </c>
      <c r="K40" s="190" t="s">
        <v>25</v>
      </c>
      <c r="L40" s="191" t="s">
        <v>26</v>
      </c>
    </row>
    <row r="41" spans="1:12" s="88" customFormat="1" x14ac:dyDescent="0.25">
      <c r="A41" s="627" t="s">
        <v>108</v>
      </c>
      <c r="B41" s="634" t="s">
        <v>109</v>
      </c>
      <c r="C41" s="634"/>
      <c r="D41" s="213" t="s">
        <v>50</v>
      </c>
      <c r="E41" s="214" t="s">
        <v>79</v>
      </c>
      <c r="F41" s="334" t="s">
        <v>110</v>
      </c>
      <c r="G41" s="629" t="s">
        <v>176</v>
      </c>
      <c r="H41" s="629">
        <v>40</v>
      </c>
      <c r="I41" s="629"/>
      <c r="J41" s="629"/>
      <c r="K41" s="629"/>
      <c r="L41" s="632">
        <v>4</v>
      </c>
    </row>
    <row r="42" spans="1:12" x14ac:dyDescent="0.25">
      <c r="A42" s="627"/>
      <c r="B42" s="634"/>
      <c r="C42" s="634"/>
      <c r="D42" s="213" t="s">
        <v>28</v>
      </c>
      <c r="E42" s="309" t="s">
        <v>107</v>
      </c>
      <c r="F42" s="334">
        <v>20</v>
      </c>
      <c r="G42" s="629"/>
      <c r="H42" s="629"/>
      <c r="I42" s="629"/>
      <c r="J42" s="629"/>
      <c r="K42" s="629"/>
      <c r="L42" s="632"/>
    </row>
    <row r="43" spans="1:12" s="321" customFormat="1" ht="25.5" customHeight="1" x14ac:dyDescent="0.25">
      <c r="A43" s="245" t="s">
        <v>210</v>
      </c>
      <c r="B43" s="557" t="s">
        <v>211</v>
      </c>
      <c r="C43" s="557"/>
      <c r="D43" s="210" t="s">
        <v>216</v>
      </c>
      <c r="E43" s="243" t="s">
        <v>158</v>
      </c>
      <c r="F43" s="210" t="s">
        <v>217</v>
      </c>
      <c r="G43" s="366" t="s">
        <v>218</v>
      </c>
      <c r="H43" s="210">
        <v>40</v>
      </c>
      <c r="I43" s="210">
        <v>3</v>
      </c>
      <c r="J43" s="210">
        <v>3</v>
      </c>
      <c r="K43" s="210">
        <v>3</v>
      </c>
      <c r="L43" s="246">
        <v>3</v>
      </c>
    </row>
    <row r="44" spans="1:12" s="299" customFormat="1" x14ac:dyDescent="0.25">
      <c r="A44" s="511" t="s">
        <v>108</v>
      </c>
      <c r="B44" s="587" t="s">
        <v>109</v>
      </c>
      <c r="C44" s="587"/>
      <c r="D44" s="113" t="s">
        <v>28</v>
      </c>
      <c r="E44" s="114" t="s">
        <v>111</v>
      </c>
      <c r="F44" s="327" t="s">
        <v>110</v>
      </c>
      <c r="G44" s="513" t="s">
        <v>177</v>
      </c>
      <c r="H44" s="513">
        <v>40</v>
      </c>
      <c r="I44" s="513">
        <v>2</v>
      </c>
      <c r="J44" s="513">
        <v>1</v>
      </c>
      <c r="K44" s="513">
        <v>3</v>
      </c>
      <c r="L44" s="514">
        <v>5</v>
      </c>
    </row>
    <row r="45" spans="1:12" s="299" customFormat="1" ht="15.75" thickBot="1" x14ac:dyDescent="0.3">
      <c r="A45" s="558"/>
      <c r="B45" s="588"/>
      <c r="C45" s="588"/>
      <c r="D45" s="124" t="s">
        <v>49</v>
      </c>
      <c r="E45" s="125" t="s">
        <v>112</v>
      </c>
      <c r="F45" s="330">
        <v>20</v>
      </c>
      <c r="G45" s="551"/>
      <c r="H45" s="551"/>
      <c r="I45" s="551"/>
      <c r="J45" s="551"/>
      <c r="K45" s="551"/>
      <c r="L45" s="552"/>
    </row>
    <row r="46" spans="1:12" ht="14.25" customHeight="1" x14ac:dyDescent="0.25">
      <c r="A46" s="523"/>
      <c r="B46" s="431"/>
      <c r="C46" s="431"/>
      <c r="D46" s="4" t="s">
        <v>39</v>
      </c>
      <c r="E46" s="22"/>
      <c r="F46" s="21"/>
      <c r="G46" s="21"/>
      <c r="H46" s="176"/>
      <c r="I46" s="21"/>
      <c r="J46" s="21"/>
      <c r="K46" s="32">
        <f>SUM(K41:K45)</f>
        <v>6</v>
      </c>
      <c r="L46" s="32">
        <f>SUM(L41:L45)</f>
        <v>12</v>
      </c>
    </row>
    <row r="47" spans="1:12" ht="14.25" customHeight="1" x14ac:dyDescent="0.25">
      <c r="A47" s="20"/>
      <c r="B47" s="20"/>
      <c r="C47" s="20"/>
      <c r="D47" s="4" t="s">
        <v>40</v>
      </c>
      <c r="E47" s="25"/>
      <c r="F47" s="26"/>
      <c r="G47" s="26"/>
      <c r="H47" s="177"/>
      <c r="I47" s="26"/>
      <c r="J47" s="26"/>
      <c r="K47" s="32">
        <f>SUM(K23,K28,K46)</f>
        <v>6</v>
      </c>
      <c r="L47" s="32">
        <f>(L23+L27+K37+L46)</f>
        <v>67</v>
      </c>
    </row>
    <row r="48" spans="1:12" ht="14.25" customHeight="1" x14ac:dyDescent="0.3">
      <c r="A48" s="440" t="s">
        <v>41</v>
      </c>
      <c r="B48" s="431"/>
      <c r="C48" s="431"/>
      <c r="D48" s="27"/>
      <c r="E48" s="27"/>
      <c r="F48" s="27"/>
      <c r="G48" s="27"/>
      <c r="H48" s="178" t="s">
        <v>42</v>
      </c>
      <c r="I48" s="6"/>
      <c r="J48" s="6"/>
      <c r="K48" s="6"/>
      <c r="L48" s="5"/>
    </row>
    <row r="49" spans="1:12" ht="14.25" customHeight="1" x14ac:dyDescent="0.25">
      <c r="A49" s="28"/>
      <c r="B49" s="28"/>
      <c r="C49" s="28"/>
      <c r="D49" s="20"/>
      <c r="E49" s="2"/>
      <c r="F49" s="20"/>
      <c r="G49" s="20"/>
      <c r="H49" s="179"/>
      <c r="I49" s="28"/>
      <c r="J49" s="28"/>
      <c r="K49" s="28"/>
      <c r="L49" s="28"/>
    </row>
    <row r="50" spans="1:12" ht="14.25" customHeight="1" x14ac:dyDescent="0.25">
      <c r="A50" s="432" t="s">
        <v>43</v>
      </c>
      <c r="B50" s="431"/>
      <c r="C50" s="431"/>
      <c r="D50" s="27"/>
      <c r="E50" s="27"/>
      <c r="F50" s="27"/>
      <c r="G50" s="27"/>
      <c r="H50" s="433" t="s">
        <v>44</v>
      </c>
      <c r="I50" s="434"/>
      <c r="J50" s="434"/>
      <c r="K50" s="434"/>
      <c r="L50" s="434"/>
    </row>
    <row r="51" spans="1:12" ht="14.25" customHeight="1" x14ac:dyDescent="0.25">
      <c r="A51" s="435" t="s">
        <v>45</v>
      </c>
      <c r="B51" s="431"/>
      <c r="C51" s="431"/>
      <c r="D51" s="27"/>
      <c r="E51" s="27"/>
      <c r="F51" s="27"/>
      <c r="G51" s="27"/>
      <c r="H51" s="435" t="s">
        <v>46</v>
      </c>
      <c r="I51" s="431"/>
      <c r="J51" s="431"/>
      <c r="K51" s="431"/>
      <c r="L51" s="431"/>
    </row>
    <row r="52" spans="1:12" ht="6" customHeight="1" x14ac:dyDescent="0.25">
      <c r="A52" s="20"/>
      <c r="B52" s="20"/>
      <c r="C52" s="20"/>
      <c r="D52" s="20"/>
      <c r="E52" s="2"/>
      <c r="F52" s="20"/>
      <c r="G52" s="20"/>
      <c r="H52" s="180"/>
      <c r="I52" s="20"/>
      <c r="J52" s="20"/>
      <c r="K52" s="20"/>
      <c r="L52" s="20"/>
    </row>
    <row r="53" spans="1:12" ht="18" customHeight="1" x14ac:dyDescent="0.25">
      <c r="A53" s="20"/>
      <c r="B53" s="20"/>
      <c r="D53" s="436" t="s">
        <v>192</v>
      </c>
      <c r="E53" s="437"/>
      <c r="F53" s="437"/>
      <c r="G53" s="437"/>
      <c r="H53" s="437"/>
      <c r="I53" s="437"/>
      <c r="J53" s="20"/>
      <c r="K53" s="20"/>
      <c r="L53" s="20"/>
    </row>
    <row r="54" spans="1:12" ht="14.25" customHeight="1" x14ac:dyDescent="0.25">
      <c r="C54" s="20"/>
      <c r="D54" s="433" t="s">
        <v>47</v>
      </c>
      <c r="E54" s="434"/>
      <c r="F54" s="434"/>
      <c r="G54" s="434"/>
      <c r="H54" s="434"/>
      <c r="I54" s="434"/>
      <c r="J54" s="20"/>
      <c r="K54" s="20"/>
      <c r="L54" s="20"/>
    </row>
    <row r="55" spans="1:12" ht="14.25" customHeight="1" x14ac:dyDescent="0.25">
      <c r="A55" s="10" t="s">
        <v>48</v>
      </c>
      <c r="B55" s="20"/>
      <c r="C55" s="20"/>
      <c r="D55" s="430"/>
      <c r="E55" s="431"/>
      <c r="F55" s="431"/>
      <c r="G55" s="431"/>
      <c r="H55" s="431"/>
      <c r="I55" s="431"/>
      <c r="J55" s="29"/>
      <c r="K55" s="20"/>
      <c r="L55" s="20"/>
    </row>
    <row r="56" spans="1:12" ht="2.25" customHeight="1" x14ac:dyDescent="0.25">
      <c r="A56" s="564"/>
      <c r="B56" s="431"/>
      <c r="C56" s="431"/>
      <c r="D56" s="54"/>
      <c r="E56" s="31"/>
      <c r="F56" s="54"/>
      <c r="G56" s="54"/>
      <c r="H56" s="181"/>
      <c r="I56" s="563"/>
      <c r="J56" s="431"/>
      <c r="K56" s="563"/>
      <c r="L56" s="431"/>
    </row>
    <row r="57" spans="1:12" ht="14.25" customHeight="1" x14ac:dyDescent="0.25">
      <c r="E57" s="2"/>
    </row>
    <row r="58" spans="1:12" ht="14.25" customHeight="1" x14ac:dyDescent="0.25">
      <c r="E58" s="2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</sheetData>
  <mergeCells count="97">
    <mergeCell ref="A46:C46"/>
    <mergeCell ref="A35:C35"/>
    <mergeCell ref="D35:F35"/>
    <mergeCell ref="A26:C26"/>
    <mergeCell ref="E26:G26"/>
    <mergeCell ref="A29:C30"/>
    <mergeCell ref="D29:F30"/>
    <mergeCell ref="G29:J30"/>
    <mergeCell ref="H39:H40"/>
    <mergeCell ref="A39:A40"/>
    <mergeCell ref="B39:C40"/>
    <mergeCell ref="D39:D40"/>
    <mergeCell ref="E39:E40"/>
    <mergeCell ref="F39:F40"/>
    <mergeCell ref="G39:G40"/>
    <mergeCell ref="I44:I45"/>
    <mergeCell ref="K44:K45"/>
    <mergeCell ref="H44:H45"/>
    <mergeCell ref="H41:H42"/>
    <mergeCell ref="K37:L37"/>
    <mergeCell ref="A31:C31"/>
    <mergeCell ref="D31:F31"/>
    <mergeCell ref="L41:L42"/>
    <mergeCell ref="B41:C42"/>
    <mergeCell ref="G41:G42"/>
    <mergeCell ref="A41:A42"/>
    <mergeCell ref="I41:I42"/>
    <mergeCell ref="J41:J42"/>
    <mergeCell ref="K41:K42"/>
    <mergeCell ref="B44:C45"/>
    <mergeCell ref="G44:G45"/>
    <mergeCell ref="A44:A45"/>
    <mergeCell ref="J44:J45"/>
    <mergeCell ref="L18:L19"/>
    <mergeCell ref="L20:L21"/>
    <mergeCell ref="B20:C21"/>
    <mergeCell ref="G20:G21"/>
    <mergeCell ref="H20:H21"/>
    <mergeCell ref="K18:K19"/>
    <mergeCell ref="L44:L45"/>
    <mergeCell ref="K36:L36"/>
    <mergeCell ref="A34:C34"/>
    <mergeCell ref="D34:F34"/>
    <mergeCell ref="K34:L34"/>
    <mergeCell ref="A32:C32"/>
    <mergeCell ref="D32:F32"/>
    <mergeCell ref="K32:L32"/>
    <mergeCell ref="A33:C33"/>
    <mergeCell ref="A18:A19"/>
    <mergeCell ref="B18:C19"/>
    <mergeCell ref="G18:G19"/>
    <mergeCell ref="I18:I19"/>
    <mergeCell ref="J18:J19"/>
    <mergeCell ref="H18:H19"/>
    <mergeCell ref="A24:A25"/>
    <mergeCell ref="B24:C25"/>
    <mergeCell ref="D24:D25"/>
    <mergeCell ref="E24:G25"/>
    <mergeCell ref="H24:H25"/>
    <mergeCell ref="K33:L33"/>
    <mergeCell ref="G31:J35"/>
    <mergeCell ref="K35:L35"/>
    <mergeCell ref="K29:L30"/>
    <mergeCell ref="B22:C22"/>
    <mergeCell ref="K31:L31"/>
    <mergeCell ref="A56:C56"/>
    <mergeCell ref="I56:J56"/>
    <mergeCell ref="K56:L56"/>
    <mergeCell ref="A48:C48"/>
    <mergeCell ref="A50:C50"/>
    <mergeCell ref="H50:L50"/>
    <mergeCell ref="A51:C51"/>
    <mergeCell ref="H51:L51"/>
    <mergeCell ref="D53:I53"/>
    <mergeCell ref="D54:I54"/>
    <mergeCell ref="D55:I55"/>
    <mergeCell ref="A2:L2"/>
    <mergeCell ref="A3:L3"/>
    <mergeCell ref="A4:L4"/>
    <mergeCell ref="A5:L5"/>
    <mergeCell ref="A6:L6"/>
    <mergeCell ref="B43:C43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20:A21"/>
    <mergeCell ref="I20:I21"/>
    <mergeCell ref="J20:J21"/>
    <mergeCell ref="K20:K21"/>
    <mergeCell ref="D33:F33"/>
  </mergeCells>
  <pageMargins left="0.5" right="0.25" top="0.25" bottom="0.25" header="0" footer="0"/>
  <pageSetup paperSize="5" scale="8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001"/>
  <sheetViews>
    <sheetView tabSelected="1" topLeftCell="A38" zoomScale="115" zoomScaleNormal="115" workbookViewId="0">
      <selection activeCell="N50" sqref="N50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13" width="8.85546875" style="53" customWidth="1"/>
    <col min="14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59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2" s="200" customFormat="1" ht="28.5" customHeight="1" x14ac:dyDescent="0.25">
      <c r="A18" s="292" t="s">
        <v>117</v>
      </c>
      <c r="B18" s="621" t="s">
        <v>118</v>
      </c>
      <c r="C18" s="621"/>
      <c r="D18" s="126" t="s">
        <v>49</v>
      </c>
      <c r="E18" s="127" t="s">
        <v>81</v>
      </c>
      <c r="F18" s="290" t="s">
        <v>80</v>
      </c>
      <c r="G18" s="290" t="s">
        <v>186</v>
      </c>
      <c r="H18" s="290">
        <v>40</v>
      </c>
      <c r="I18" s="290">
        <v>3</v>
      </c>
      <c r="J18" s="290">
        <v>0</v>
      </c>
      <c r="K18" s="290">
        <v>3</v>
      </c>
      <c r="L18" s="291">
        <v>3</v>
      </c>
    </row>
    <row r="19" spans="1:12" s="92" customFormat="1" x14ac:dyDescent="0.25">
      <c r="A19" s="578" t="s">
        <v>131</v>
      </c>
      <c r="B19" s="579" t="s">
        <v>130</v>
      </c>
      <c r="C19" s="579"/>
      <c r="D19" s="126" t="s">
        <v>38</v>
      </c>
      <c r="E19" s="127" t="s">
        <v>105</v>
      </c>
      <c r="F19" s="418" t="s">
        <v>106</v>
      </c>
      <c r="G19" s="566" t="s">
        <v>183</v>
      </c>
      <c r="H19" s="566">
        <v>40</v>
      </c>
      <c r="I19" s="566">
        <v>2</v>
      </c>
      <c r="J19" s="566">
        <v>1</v>
      </c>
      <c r="K19" s="566">
        <v>3</v>
      </c>
      <c r="L19" s="580">
        <v>5</v>
      </c>
    </row>
    <row r="20" spans="1:12" s="92" customFormat="1" x14ac:dyDescent="0.25">
      <c r="A20" s="511"/>
      <c r="B20" s="512"/>
      <c r="C20" s="512"/>
      <c r="D20" s="113" t="s">
        <v>28</v>
      </c>
      <c r="E20" s="114" t="s">
        <v>273</v>
      </c>
      <c r="F20" s="413" t="s">
        <v>106</v>
      </c>
      <c r="G20" s="513"/>
      <c r="H20" s="513"/>
      <c r="I20" s="513"/>
      <c r="J20" s="513"/>
      <c r="K20" s="513"/>
      <c r="L20" s="514"/>
    </row>
    <row r="21" spans="1:12" s="111" customFormat="1" ht="14.25" customHeight="1" x14ac:dyDescent="0.25">
      <c r="A21" s="511" t="s">
        <v>139</v>
      </c>
      <c r="B21" s="587" t="s">
        <v>138</v>
      </c>
      <c r="C21" s="587"/>
      <c r="D21" s="113" t="s">
        <v>50</v>
      </c>
      <c r="E21" s="114" t="s">
        <v>82</v>
      </c>
      <c r="F21" s="286" t="s">
        <v>86</v>
      </c>
      <c r="G21" s="513" t="s">
        <v>182</v>
      </c>
      <c r="H21" s="513">
        <v>40</v>
      </c>
      <c r="I21" s="513">
        <v>2</v>
      </c>
      <c r="J21" s="513">
        <v>1</v>
      </c>
      <c r="K21" s="513">
        <v>3</v>
      </c>
      <c r="L21" s="514">
        <v>5</v>
      </c>
    </row>
    <row r="22" spans="1:12" s="111" customFormat="1" ht="14.25" customHeight="1" x14ac:dyDescent="0.25">
      <c r="A22" s="511"/>
      <c r="B22" s="587"/>
      <c r="C22" s="587"/>
      <c r="D22" s="113" t="s">
        <v>38</v>
      </c>
      <c r="E22" s="114" t="s">
        <v>107</v>
      </c>
      <c r="F22" s="286" t="s">
        <v>106</v>
      </c>
      <c r="G22" s="513"/>
      <c r="H22" s="513"/>
      <c r="I22" s="513"/>
      <c r="J22" s="513"/>
      <c r="K22" s="513"/>
      <c r="L22" s="514"/>
    </row>
    <row r="23" spans="1:12" s="111" customFormat="1" ht="14.25" customHeight="1" x14ac:dyDescent="0.25">
      <c r="A23" s="511" t="s">
        <v>139</v>
      </c>
      <c r="B23" s="587" t="s">
        <v>138</v>
      </c>
      <c r="C23" s="587"/>
      <c r="D23" s="113" t="s">
        <v>28</v>
      </c>
      <c r="E23" s="114" t="s">
        <v>88</v>
      </c>
      <c r="F23" s="286" t="s">
        <v>110</v>
      </c>
      <c r="G23" s="513" t="s">
        <v>178</v>
      </c>
      <c r="H23" s="513">
        <v>40</v>
      </c>
      <c r="I23" s="513">
        <v>2</v>
      </c>
      <c r="J23" s="513">
        <v>1</v>
      </c>
      <c r="K23" s="513">
        <v>3</v>
      </c>
      <c r="L23" s="514">
        <v>5</v>
      </c>
    </row>
    <row r="24" spans="1:12" s="111" customFormat="1" ht="14.25" customHeight="1" x14ac:dyDescent="0.25">
      <c r="A24" s="511"/>
      <c r="B24" s="587"/>
      <c r="C24" s="587"/>
      <c r="D24" s="113" t="s">
        <v>27</v>
      </c>
      <c r="E24" s="114" t="s">
        <v>137</v>
      </c>
      <c r="F24" s="286" t="s">
        <v>110</v>
      </c>
      <c r="G24" s="513"/>
      <c r="H24" s="513"/>
      <c r="I24" s="513"/>
      <c r="J24" s="513"/>
      <c r="K24" s="513"/>
      <c r="L24" s="514"/>
    </row>
    <row r="25" spans="1:12" s="111" customFormat="1" ht="14.25" customHeight="1" x14ac:dyDescent="0.25">
      <c r="A25" s="612" t="s">
        <v>139</v>
      </c>
      <c r="B25" s="614" t="s">
        <v>138</v>
      </c>
      <c r="C25" s="614"/>
      <c r="D25" s="228" t="s">
        <v>28</v>
      </c>
      <c r="E25" s="227" t="s">
        <v>82</v>
      </c>
      <c r="F25" s="288" t="s">
        <v>86</v>
      </c>
      <c r="G25" s="616" t="s">
        <v>180</v>
      </c>
      <c r="H25" s="616">
        <v>40</v>
      </c>
      <c r="I25" s="616">
        <v>2</v>
      </c>
      <c r="J25" s="616">
        <v>1</v>
      </c>
      <c r="K25" s="616">
        <v>3</v>
      </c>
      <c r="L25" s="618">
        <v>3</v>
      </c>
    </row>
    <row r="26" spans="1:12" s="111" customFormat="1" ht="14.25" customHeight="1" thickBot="1" x14ac:dyDescent="0.3">
      <c r="A26" s="613"/>
      <c r="B26" s="615"/>
      <c r="C26" s="615"/>
      <c r="D26" s="229" t="s">
        <v>49</v>
      </c>
      <c r="E26" s="231" t="s">
        <v>92</v>
      </c>
      <c r="F26" s="289" t="s">
        <v>110</v>
      </c>
      <c r="G26" s="617"/>
      <c r="H26" s="617"/>
      <c r="I26" s="617"/>
      <c r="J26" s="617"/>
      <c r="K26" s="617"/>
      <c r="L26" s="619"/>
    </row>
    <row r="27" spans="1:12" ht="14.25" customHeight="1" x14ac:dyDescent="0.25">
      <c r="A27" s="144"/>
      <c r="B27" s="438"/>
      <c r="C27" s="439"/>
      <c r="D27" s="144"/>
      <c r="E27" s="134" t="s">
        <v>29</v>
      </c>
      <c r="F27" s="141"/>
      <c r="G27" s="141"/>
      <c r="H27" s="182"/>
      <c r="I27" s="143"/>
      <c r="J27" s="143"/>
      <c r="K27" s="234">
        <f>SUM(K18:K26)</f>
        <v>15</v>
      </c>
      <c r="L27" s="234">
        <f>SUM(L18:L26)</f>
        <v>21</v>
      </c>
    </row>
    <row r="28" spans="1:12" ht="14.25" customHeight="1" thickBot="1" x14ac:dyDescent="0.3">
      <c r="A28" s="7" t="s">
        <v>30</v>
      </c>
      <c r="B28" s="8"/>
      <c r="E28" s="2"/>
    </row>
    <row r="29" spans="1:12" ht="14.25" customHeight="1" x14ac:dyDescent="0.25">
      <c r="A29" s="524" t="s">
        <v>13</v>
      </c>
      <c r="B29" s="526" t="s">
        <v>14</v>
      </c>
      <c r="C29" s="527"/>
      <c r="D29" s="528" t="s">
        <v>15</v>
      </c>
      <c r="E29" s="526" t="s">
        <v>16</v>
      </c>
      <c r="F29" s="503"/>
      <c r="G29" s="527"/>
      <c r="H29" s="530" t="s">
        <v>19</v>
      </c>
      <c r="I29" s="13" t="s">
        <v>20</v>
      </c>
      <c r="J29" s="13" t="s">
        <v>20</v>
      </c>
      <c r="K29" s="13" t="s">
        <v>21</v>
      </c>
      <c r="L29" s="14" t="s">
        <v>22</v>
      </c>
    </row>
    <row r="30" spans="1:12" ht="14.25" customHeight="1" x14ac:dyDescent="0.25">
      <c r="A30" s="525"/>
      <c r="B30" s="482"/>
      <c r="C30" s="472"/>
      <c r="D30" s="529"/>
      <c r="E30" s="482"/>
      <c r="F30" s="437"/>
      <c r="G30" s="472"/>
      <c r="H30" s="531"/>
      <c r="I30" s="15" t="s">
        <v>23</v>
      </c>
      <c r="J30" s="15" t="s">
        <v>24</v>
      </c>
      <c r="K30" s="15" t="s">
        <v>25</v>
      </c>
      <c r="L30" s="16" t="s">
        <v>26</v>
      </c>
    </row>
    <row r="31" spans="1:12" ht="14.25" customHeight="1" thickBot="1" x14ac:dyDescent="0.3">
      <c r="A31" s="636"/>
      <c r="B31" s="642"/>
      <c r="C31" s="643"/>
      <c r="D31" s="58"/>
      <c r="E31" s="644"/>
      <c r="F31" s="501"/>
      <c r="G31" s="645"/>
      <c r="H31" s="184"/>
      <c r="I31" s="58"/>
      <c r="J31" s="58"/>
      <c r="K31" s="58"/>
      <c r="L31" s="59"/>
    </row>
    <row r="32" spans="1:12" ht="14.25" customHeight="1" x14ac:dyDescent="0.25">
      <c r="D32" s="10" t="s">
        <v>31</v>
      </c>
      <c r="E32" s="17"/>
      <c r="F32" s="11"/>
      <c r="G32" s="11"/>
      <c r="H32" s="173"/>
      <c r="I32" s="11"/>
      <c r="K32" s="32">
        <f t="shared" ref="K32:L32" si="0">SUM(K31)</f>
        <v>0</v>
      </c>
      <c r="L32" s="32">
        <f t="shared" si="0"/>
        <v>0</v>
      </c>
    </row>
    <row r="33" spans="1:12" ht="14.25" customHeight="1" thickBot="1" x14ac:dyDescent="0.3">
      <c r="A33" s="7" t="s">
        <v>32</v>
      </c>
      <c r="B33" s="18"/>
      <c r="C33" s="19"/>
      <c r="D33" s="19"/>
      <c r="E33" s="2"/>
      <c r="F33" s="19"/>
      <c r="G33" s="19"/>
      <c r="H33" s="175"/>
      <c r="I33" s="19"/>
      <c r="J33" s="19"/>
      <c r="K33" s="19"/>
      <c r="L33" s="19"/>
    </row>
    <row r="34" spans="1:12" ht="14.25" customHeight="1" x14ac:dyDescent="0.25">
      <c r="A34" s="492" t="s">
        <v>15</v>
      </c>
      <c r="B34" s="493"/>
      <c r="C34" s="494"/>
      <c r="D34" s="480" t="s">
        <v>16</v>
      </c>
      <c r="E34" s="493"/>
      <c r="F34" s="494"/>
      <c r="G34" s="480" t="s">
        <v>33</v>
      </c>
      <c r="H34" s="493"/>
      <c r="I34" s="493"/>
      <c r="J34" s="494"/>
      <c r="K34" s="480" t="s">
        <v>34</v>
      </c>
      <c r="L34" s="481"/>
    </row>
    <row r="35" spans="1:12" ht="14.25" customHeight="1" thickBot="1" x14ac:dyDescent="0.3">
      <c r="A35" s="538"/>
      <c r="B35" s="458"/>
      <c r="C35" s="459"/>
      <c r="D35" s="521"/>
      <c r="E35" s="458"/>
      <c r="F35" s="459"/>
      <c r="G35" s="521"/>
      <c r="H35" s="458"/>
      <c r="I35" s="458"/>
      <c r="J35" s="459"/>
      <c r="K35" s="521"/>
      <c r="L35" s="522"/>
    </row>
    <row r="36" spans="1:12" s="79" customFormat="1" ht="14.25" customHeight="1" x14ac:dyDescent="0.25">
      <c r="A36" s="471" t="s">
        <v>49</v>
      </c>
      <c r="B36" s="437"/>
      <c r="C36" s="472"/>
      <c r="D36" s="473" t="s">
        <v>272</v>
      </c>
      <c r="E36" s="437"/>
      <c r="F36" s="472"/>
      <c r="G36" s="465" t="s">
        <v>75</v>
      </c>
      <c r="H36" s="466"/>
      <c r="I36" s="466"/>
      <c r="J36" s="467"/>
      <c r="K36" s="474">
        <v>5</v>
      </c>
      <c r="L36" s="475"/>
    </row>
    <row r="37" spans="1:12" ht="14.25" customHeight="1" x14ac:dyDescent="0.25">
      <c r="A37" s="476" t="s">
        <v>28</v>
      </c>
      <c r="B37" s="453"/>
      <c r="C37" s="477"/>
      <c r="D37" s="539" t="s">
        <v>274</v>
      </c>
      <c r="E37" s="453"/>
      <c r="F37" s="477"/>
      <c r="G37" s="465"/>
      <c r="H37" s="466"/>
      <c r="I37" s="466"/>
      <c r="J37" s="467"/>
      <c r="K37" s="478">
        <v>1</v>
      </c>
      <c r="L37" s="479"/>
    </row>
    <row r="38" spans="1:12" s="79" customFormat="1" ht="14.25" customHeight="1" x14ac:dyDescent="0.25">
      <c r="A38" s="476" t="s">
        <v>27</v>
      </c>
      <c r="B38" s="646"/>
      <c r="C38" s="647"/>
      <c r="D38" s="473" t="s">
        <v>271</v>
      </c>
      <c r="E38" s="437"/>
      <c r="F38" s="472"/>
      <c r="G38" s="465"/>
      <c r="H38" s="466"/>
      <c r="I38" s="466"/>
      <c r="J38" s="467"/>
      <c r="K38" s="478">
        <v>4</v>
      </c>
      <c r="L38" s="641"/>
    </row>
    <row r="39" spans="1:12" ht="14.25" customHeight="1" x14ac:dyDescent="0.25">
      <c r="A39" s="476" t="s">
        <v>38</v>
      </c>
      <c r="B39" s="646"/>
      <c r="C39" s="647"/>
      <c r="D39" s="539" t="s">
        <v>275</v>
      </c>
      <c r="E39" s="648"/>
      <c r="F39" s="649"/>
      <c r="G39" s="465"/>
      <c r="H39" s="466"/>
      <c r="I39" s="466"/>
      <c r="J39" s="467"/>
      <c r="K39" s="478">
        <v>3</v>
      </c>
      <c r="L39" s="641"/>
    </row>
    <row r="40" spans="1:12" ht="15.75" customHeight="1" thickBot="1" x14ac:dyDescent="0.3">
      <c r="A40" s="454" t="s">
        <v>50</v>
      </c>
      <c r="B40" s="455"/>
      <c r="C40" s="456"/>
      <c r="D40" s="457" t="s">
        <v>276</v>
      </c>
      <c r="E40" s="458"/>
      <c r="F40" s="459"/>
      <c r="G40" s="468"/>
      <c r="H40" s="469"/>
      <c r="I40" s="469"/>
      <c r="J40" s="470"/>
      <c r="K40" s="460">
        <v>6</v>
      </c>
      <c r="L40" s="461"/>
    </row>
    <row r="41" spans="1:12" x14ac:dyDescent="0.25">
      <c r="A41" s="56"/>
      <c r="B41" s="56"/>
      <c r="C41" s="56"/>
      <c r="D41" s="10" t="s">
        <v>35</v>
      </c>
      <c r="E41" s="17"/>
      <c r="F41" s="11"/>
      <c r="G41" s="11"/>
      <c r="H41" s="173"/>
      <c r="I41" s="11"/>
      <c r="J41" s="20"/>
      <c r="K41" s="451">
        <f>SUM(K36:L40)</f>
        <v>19</v>
      </c>
      <c r="L41" s="437"/>
    </row>
    <row r="42" spans="1:12" x14ac:dyDescent="0.25">
      <c r="A42" s="56"/>
      <c r="B42" s="56"/>
      <c r="C42" s="56"/>
      <c r="D42" s="10" t="s">
        <v>36</v>
      </c>
      <c r="E42" s="17"/>
      <c r="F42" s="11"/>
      <c r="G42" s="11"/>
      <c r="H42" s="173"/>
      <c r="I42" s="11"/>
      <c r="K42" s="452">
        <f>L27+L32+K41</f>
        <v>40</v>
      </c>
      <c r="L42" s="453"/>
    </row>
    <row r="43" spans="1:12" ht="17.25" thickBot="1" x14ac:dyDescent="0.3">
      <c r="A43" s="7" t="s">
        <v>37</v>
      </c>
      <c r="B43" s="19"/>
      <c r="D43" s="21"/>
      <c r="E43" s="22"/>
      <c r="F43" s="21"/>
      <c r="G43" s="21"/>
      <c r="H43" s="176"/>
      <c r="I43" s="21"/>
      <c r="J43" s="21"/>
      <c r="K43" s="23"/>
      <c r="L43" s="24"/>
    </row>
    <row r="44" spans="1:12" x14ac:dyDescent="0.25">
      <c r="A44" s="446" t="s">
        <v>13</v>
      </c>
      <c r="B44" s="448" t="s">
        <v>14</v>
      </c>
      <c r="C44" s="565"/>
      <c r="D44" s="448" t="s">
        <v>15</v>
      </c>
      <c r="E44" s="448" t="s">
        <v>16</v>
      </c>
      <c r="F44" s="448" t="s">
        <v>17</v>
      </c>
      <c r="G44" s="448" t="s">
        <v>18</v>
      </c>
      <c r="H44" s="441" t="s">
        <v>19</v>
      </c>
      <c r="I44" s="49" t="s">
        <v>20</v>
      </c>
      <c r="J44" s="49" t="s">
        <v>20</v>
      </c>
      <c r="K44" s="49" t="s">
        <v>21</v>
      </c>
      <c r="L44" s="50" t="s">
        <v>22</v>
      </c>
    </row>
    <row r="45" spans="1:12" ht="15.75" thickBot="1" x14ac:dyDescent="0.3">
      <c r="A45" s="655"/>
      <c r="B45" s="650"/>
      <c r="C45" s="650"/>
      <c r="D45" s="650"/>
      <c r="E45" s="650"/>
      <c r="F45" s="650"/>
      <c r="G45" s="650"/>
      <c r="H45" s="650"/>
      <c r="I45" s="51" t="s">
        <v>23</v>
      </c>
      <c r="J45" s="51" t="s">
        <v>24</v>
      </c>
      <c r="K45" s="51" t="s">
        <v>25</v>
      </c>
      <c r="L45" s="52" t="s">
        <v>26</v>
      </c>
    </row>
    <row r="46" spans="1:12" s="200" customFormat="1" x14ac:dyDescent="0.25">
      <c r="A46" s="640" t="s">
        <v>139</v>
      </c>
      <c r="B46" s="654" t="s">
        <v>138</v>
      </c>
      <c r="C46" s="654"/>
      <c r="D46" s="232" t="s">
        <v>28</v>
      </c>
      <c r="E46" s="233" t="s">
        <v>82</v>
      </c>
      <c r="F46" s="276" t="s">
        <v>86</v>
      </c>
      <c r="G46" s="651" t="s">
        <v>180</v>
      </c>
      <c r="H46" s="651">
        <v>40</v>
      </c>
      <c r="I46" s="651"/>
      <c r="J46" s="651"/>
      <c r="K46" s="651"/>
      <c r="L46" s="639">
        <v>2</v>
      </c>
    </row>
    <row r="47" spans="1:12" s="200" customFormat="1" x14ac:dyDescent="0.25">
      <c r="A47" s="612"/>
      <c r="B47" s="614"/>
      <c r="C47" s="614"/>
      <c r="D47" s="228" t="s">
        <v>49</v>
      </c>
      <c r="E47" s="227" t="s">
        <v>92</v>
      </c>
      <c r="F47" s="275" t="s">
        <v>110</v>
      </c>
      <c r="G47" s="616"/>
      <c r="H47" s="616"/>
      <c r="I47" s="616"/>
      <c r="J47" s="616"/>
      <c r="K47" s="616"/>
      <c r="L47" s="618"/>
    </row>
    <row r="48" spans="1:12" s="407" customFormat="1" ht="23.25" customHeight="1" x14ac:dyDescent="0.25">
      <c r="A48" s="245" t="s">
        <v>131</v>
      </c>
      <c r="B48" s="777" t="s">
        <v>153</v>
      </c>
      <c r="C48" s="777"/>
      <c r="D48" s="398" t="s">
        <v>95</v>
      </c>
      <c r="E48" s="243" t="s">
        <v>161</v>
      </c>
      <c r="F48" s="398">
        <v>54</v>
      </c>
      <c r="G48" s="398" t="s">
        <v>160</v>
      </c>
      <c r="H48" s="398">
        <v>40</v>
      </c>
      <c r="I48" s="398">
        <v>3</v>
      </c>
      <c r="J48" s="398">
        <v>0</v>
      </c>
      <c r="K48" s="398">
        <v>3</v>
      </c>
      <c r="L48" s="246">
        <v>3</v>
      </c>
    </row>
    <row r="49" spans="1:12" s="274" customFormat="1" x14ac:dyDescent="0.25">
      <c r="A49" s="511" t="s">
        <v>131</v>
      </c>
      <c r="B49" s="512" t="s">
        <v>130</v>
      </c>
      <c r="C49" s="512"/>
      <c r="D49" s="113" t="s">
        <v>27</v>
      </c>
      <c r="E49" s="114" t="s">
        <v>82</v>
      </c>
      <c r="F49" s="390" t="s">
        <v>102</v>
      </c>
      <c r="G49" s="513" t="s">
        <v>184</v>
      </c>
      <c r="H49" s="513">
        <v>40</v>
      </c>
      <c r="I49" s="513">
        <v>2</v>
      </c>
      <c r="J49" s="513">
        <v>1</v>
      </c>
      <c r="K49" s="513">
        <v>3</v>
      </c>
      <c r="L49" s="514">
        <v>5</v>
      </c>
    </row>
    <row r="50" spans="1:12" ht="15.75" customHeight="1" thickBot="1" x14ac:dyDescent="0.3">
      <c r="A50" s="558"/>
      <c r="B50" s="653"/>
      <c r="C50" s="653"/>
      <c r="D50" s="124" t="s">
        <v>38</v>
      </c>
      <c r="E50" s="230" t="s">
        <v>266</v>
      </c>
      <c r="F50" s="391" t="s">
        <v>102</v>
      </c>
      <c r="G50" s="551"/>
      <c r="H50" s="551"/>
      <c r="I50" s="551"/>
      <c r="J50" s="551"/>
      <c r="K50" s="551"/>
      <c r="L50" s="552"/>
    </row>
    <row r="51" spans="1:12" ht="14.25" customHeight="1" x14ac:dyDescent="0.25">
      <c r="A51" s="438"/>
      <c r="B51" s="439"/>
      <c r="C51" s="439"/>
      <c r="D51" s="134" t="s">
        <v>39</v>
      </c>
      <c r="E51" s="153"/>
      <c r="F51" s="137"/>
      <c r="G51" s="137"/>
      <c r="H51" s="187"/>
      <c r="I51" s="137"/>
      <c r="J51" s="137"/>
      <c r="K51" s="266">
        <f>SUM(K46:K50)</f>
        <v>6</v>
      </c>
      <c r="L51" s="129">
        <f>SUM(L46:L50)</f>
        <v>10</v>
      </c>
    </row>
    <row r="52" spans="1:12" ht="14.25" customHeight="1" x14ac:dyDescent="0.25">
      <c r="A52" s="133"/>
      <c r="B52" s="133"/>
      <c r="C52" s="133"/>
      <c r="D52" s="134" t="s">
        <v>40</v>
      </c>
      <c r="E52" s="135"/>
      <c r="F52" s="136"/>
      <c r="G52" s="136"/>
      <c r="H52" s="185"/>
      <c r="I52" s="136"/>
      <c r="J52" s="136"/>
      <c r="K52" s="129">
        <f>SUM(K27,K32,K51)</f>
        <v>21</v>
      </c>
      <c r="L52" s="129">
        <f>(L27+L32+K41+L51)</f>
        <v>50</v>
      </c>
    </row>
    <row r="53" spans="1:12" ht="13.5" customHeight="1" x14ac:dyDescent="0.25">
      <c r="A53" s="133"/>
      <c r="B53" s="133"/>
      <c r="C53" s="133"/>
      <c r="D53" s="134"/>
      <c r="E53" s="135"/>
      <c r="F53" s="136"/>
      <c r="G53" s="136"/>
      <c r="H53" s="185"/>
      <c r="I53" s="136"/>
      <c r="J53" s="136"/>
      <c r="K53" s="137"/>
      <c r="L53" s="137"/>
    </row>
    <row r="54" spans="1:12" ht="14.25" customHeight="1" x14ac:dyDescent="0.25">
      <c r="A54" s="432" t="s">
        <v>43</v>
      </c>
      <c r="B54" s="431"/>
      <c r="C54" s="431"/>
      <c r="D54" s="27"/>
      <c r="E54" s="27"/>
      <c r="F54" s="27"/>
      <c r="G54" s="27"/>
      <c r="H54" s="652" t="s">
        <v>44</v>
      </c>
      <c r="I54" s="573"/>
      <c r="J54" s="573"/>
      <c r="K54" s="573"/>
      <c r="L54" s="573"/>
    </row>
    <row r="55" spans="1:12" ht="14.25" customHeight="1" x14ac:dyDescent="0.25">
      <c r="A55" s="435" t="s">
        <v>45</v>
      </c>
      <c r="B55" s="431"/>
      <c r="C55" s="431"/>
      <c r="D55" s="27"/>
      <c r="E55" s="27"/>
      <c r="F55" s="27"/>
      <c r="G55" s="27"/>
      <c r="H55" s="435" t="s">
        <v>46</v>
      </c>
      <c r="I55" s="431"/>
      <c r="J55" s="431"/>
      <c r="K55" s="431"/>
      <c r="L55" s="431"/>
    </row>
    <row r="56" spans="1:12" ht="6" customHeight="1" x14ac:dyDescent="0.25">
      <c r="A56" s="20"/>
      <c r="B56" s="20"/>
      <c r="C56" s="20"/>
      <c r="D56" s="20"/>
      <c r="E56" s="2"/>
      <c r="F56" s="20"/>
      <c r="G56" s="20"/>
      <c r="H56" s="180"/>
      <c r="I56" s="20"/>
      <c r="J56" s="20"/>
      <c r="K56" s="20"/>
      <c r="L56" s="20"/>
    </row>
    <row r="57" spans="1:12" ht="18" customHeight="1" x14ac:dyDescent="0.25">
      <c r="A57" s="20"/>
      <c r="B57" s="20"/>
      <c r="C57" s="270"/>
      <c r="D57" s="436" t="s">
        <v>192</v>
      </c>
      <c r="E57" s="437"/>
      <c r="F57" s="437"/>
      <c r="G57" s="437"/>
      <c r="H57" s="437"/>
      <c r="I57" s="437"/>
      <c r="J57" s="20"/>
      <c r="K57" s="20"/>
      <c r="L57" s="20"/>
    </row>
    <row r="58" spans="1:12" ht="14.25" customHeight="1" x14ac:dyDescent="0.25">
      <c r="A58" s="270"/>
      <c r="B58" s="270"/>
      <c r="C58" s="20"/>
      <c r="D58" s="433" t="s">
        <v>47</v>
      </c>
      <c r="E58" s="434"/>
      <c r="F58" s="434"/>
      <c r="G58" s="434"/>
      <c r="H58" s="434"/>
      <c r="I58" s="434"/>
      <c r="J58" s="20"/>
      <c r="K58" s="20"/>
      <c r="L58" s="20"/>
    </row>
    <row r="59" spans="1:12" ht="14.25" customHeight="1" x14ac:dyDescent="0.25">
      <c r="A59" s="10" t="s">
        <v>48</v>
      </c>
      <c r="B59" s="20"/>
      <c r="C59" s="20"/>
      <c r="D59" s="430"/>
      <c r="E59" s="431"/>
      <c r="F59" s="431"/>
      <c r="G59" s="431"/>
      <c r="H59" s="431"/>
      <c r="I59" s="431"/>
      <c r="J59" s="29"/>
      <c r="K59" s="20"/>
      <c r="L59" s="20"/>
    </row>
    <row r="60" spans="1:12" ht="2.25" customHeight="1" x14ac:dyDescent="0.25">
      <c r="A60" s="564"/>
      <c r="B60" s="431"/>
      <c r="C60" s="431"/>
      <c r="D60" s="54"/>
      <c r="E60" s="31"/>
      <c r="F60" s="54"/>
      <c r="G60" s="54"/>
      <c r="H60" s="181"/>
      <c r="I60" s="563"/>
      <c r="J60" s="431"/>
      <c r="K60" s="563"/>
      <c r="L60" s="431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  <row r="998" spans="5:5" ht="14.25" customHeight="1" x14ac:dyDescent="0.25">
      <c r="E998" s="2"/>
    </row>
    <row r="999" spans="5:5" ht="14.25" customHeight="1" x14ac:dyDescent="0.25">
      <c r="E999" s="2"/>
    </row>
    <row r="1000" spans="5:5" ht="14.25" customHeight="1" x14ac:dyDescent="0.25">
      <c r="E1000" s="2"/>
    </row>
    <row r="1001" spans="5:5" ht="14.25" customHeight="1" x14ac:dyDescent="0.25">
      <c r="E1001" s="2"/>
    </row>
  </sheetData>
  <mergeCells count="113">
    <mergeCell ref="B48:C48"/>
    <mergeCell ref="A44:A45"/>
    <mergeCell ref="B44:C45"/>
    <mergeCell ref="D44:D45"/>
    <mergeCell ref="E44:E45"/>
    <mergeCell ref="F44:F45"/>
    <mergeCell ref="B46:C47"/>
    <mergeCell ref="G46:G47"/>
    <mergeCell ref="H46:H47"/>
    <mergeCell ref="I46:I47"/>
    <mergeCell ref="G44:G45"/>
    <mergeCell ref="H44:H45"/>
    <mergeCell ref="J46:J47"/>
    <mergeCell ref="A60:C60"/>
    <mergeCell ref="I60:J60"/>
    <mergeCell ref="K60:L60"/>
    <mergeCell ref="A51:C51"/>
    <mergeCell ref="A54:C54"/>
    <mergeCell ref="H54:L54"/>
    <mergeCell ref="A55:C55"/>
    <mergeCell ref="H55:L55"/>
    <mergeCell ref="D57:I57"/>
    <mergeCell ref="D58:I58"/>
    <mergeCell ref="D59:I59"/>
    <mergeCell ref="K46:K47"/>
    <mergeCell ref="L46:L47"/>
    <mergeCell ref="A46:A47"/>
    <mergeCell ref="L49:L50"/>
    <mergeCell ref="A49:A50"/>
    <mergeCell ref="B49:C50"/>
    <mergeCell ref="G49:G50"/>
    <mergeCell ref="H49:H50"/>
    <mergeCell ref="I49:I50"/>
    <mergeCell ref="J49:J50"/>
    <mergeCell ref="K49:K50"/>
    <mergeCell ref="A38:C38"/>
    <mergeCell ref="D38:F38"/>
    <mergeCell ref="K38:L38"/>
    <mergeCell ref="A36:C36"/>
    <mergeCell ref="D36:F36"/>
    <mergeCell ref="G36:J40"/>
    <mergeCell ref="A37:C37"/>
    <mergeCell ref="D37:F37"/>
    <mergeCell ref="A39:C39"/>
    <mergeCell ref="D39:F39"/>
    <mergeCell ref="A40:C40"/>
    <mergeCell ref="D40:F40"/>
    <mergeCell ref="K36:L36"/>
    <mergeCell ref="K42:L42"/>
    <mergeCell ref="K37:L37"/>
    <mergeCell ref="K39:L39"/>
    <mergeCell ref="K40:L40"/>
    <mergeCell ref="K41:L41"/>
    <mergeCell ref="K25:K26"/>
    <mergeCell ref="L25:L26"/>
    <mergeCell ref="K34:L35"/>
    <mergeCell ref="B27:C27"/>
    <mergeCell ref="A31:C31"/>
    <mergeCell ref="E31:G31"/>
    <mergeCell ref="A34:C35"/>
    <mergeCell ref="D34:F35"/>
    <mergeCell ref="G34:J35"/>
    <mergeCell ref="A29:A30"/>
    <mergeCell ref="B29:C30"/>
    <mergeCell ref="D29:D30"/>
    <mergeCell ref="E29:G30"/>
    <mergeCell ref="H29:H30"/>
    <mergeCell ref="A25:A26"/>
    <mergeCell ref="B25:C26"/>
    <mergeCell ref="G25:G26"/>
    <mergeCell ref="H25:H26"/>
    <mergeCell ref="I25:I26"/>
    <mergeCell ref="J25:J26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G21:G22"/>
    <mergeCell ref="H21:H22"/>
    <mergeCell ref="I21:I22"/>
    <mergeCell ref="K19:K20"/>
    <mergeCell ref="B19:C20"/>
    <mergeCell ref="G19:G20"/>
    <mergeCell ref="H19:H20"/>
    <mergeCell ref="I19:I20"/>
    <mergeCell ref="J19:J20"/>
    <mergeCell ref="A7:L7"/>
    <mergeCell ref="A2:L2"/>
    <mergeCell ref="A3:L3"/>
    <mergeCell ref="A4:L4"/>
    <mergeCell ref="A5:L5"/>
    <mergeCell ref="A6:L6"/>
    <mergeCell ref="L23:L24"/>
    <mergeCell ref="B21:C22"/>
    <mergeCell ref="B18:C18"/>
    <mergeCell ref="A21:A22"/>
    <mergeCell ref="A23:A24"/>
    <mergeCell ref="I23:I24"/>
    <mergeCell ref="J23:J24"/>
    <mergeCell ref="K23:K24"/>
    <mergeCell ref="H23:H24"/>
    <mergeCell ref="G23:G24"/>
    <mergeCell ref="B23:C24"/>
    <mergeCell ref="J21:J22"/>
    <mergeCell ref="K21:K22"/>
    <mergeCell ref="L21:L22"/>
    <mergeCell ref="L19:L20"/>
    <mergeCell ref="A19:A20"/>
  </mergeCells>
  <pageMargins left="0.5" right="0.25" top="0.25" bottom="0.25" header="0" footer="0"/>
  <pageSetup paperSize="5" scale="8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97"/>
  <sheetViews>
    <sheetView topLeftCell="A17" zoomScaleNormal="100" workbookViewId="0">
      <selection activeCell="B42" sqref="B42:C43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60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659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x14ac:dyDescent="0.25">
      <c r="A18" s="511" t="s">
        <v>163</v>
      </c>
      <c r="B18" s="512" t="s">
        <v>162</v>
      </c>
      <c r="C18" s="512"/>
      <c r="D18" s="113" t="s">
        <v>27</v>
      </c>
      <c r="E18" s="114" t="s">
        <v>79</v>
      </c>
      <c r="F18" s="390" t="s">
        <v>86</v>
      </c>
      <c r="G18" s="513" t="s">
        <v>171</v>
      </c>
      <c r="H18" s="513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12" ht="14.25" customHeight="1" x14ac:dyDescent="0.25">
      <c r="A19" s="511"/>
      <c r="B19" s="512"/>
      <c r="C19" s="512"/>
      <c r="D19" s="113" t="s">
        <v>28</v>
      </c>
      <c r="E19" s="114" t="s">
        <v>105</v>
      </c>
      <c r="F19" s="390">
        <v>20</v>
      </c>
      <c r="G19" s="513"/>
      <c r="H19" s="513"/>
      <c r="I19" s="513"/>
      <c r="J19" s="513"/>
      <c r="K19" s="513"/>
      <c r="L19" s="514"/>
    </row>
    <row r="20" spans="1:12" s="99" customFormat="1" ht="14.25" customHeight="1" x14ac:dyDescent="0.25">
      <c r="A20" s="627" t="s">
        <v>163</v>
      </c>
      <c r="B20" s="661" t="s">
        <v>162</v>
      </c>
      <c r="C20" s="661"/>
      <c r="D20" s="213" t="s">
        <v>38</v>
      </c>
      <c r="E20" s="214" t="s">
        <v>79</v>
      </c>
      <c r="F20" s="395" t="s">
        <v>86</v>
      </c>
      <c r="G20" s="629" t="s">
        <v>172</v>
      </c>
      <c r="H20" s="629">
        <v>40</v>
      </c>
      <c r="I20" s="629">
        <v>2</v>
      </c>
      <c r="J20" s="629">
        <v>1</v>
      </c>
      <c r="K20" s="629">
        <v>3</v>
      </c>
      <c r="L20" s="632">
        <v>4</v>
      </c>
    </row>
    <row r="21" spans="1:12" s="99" customFormat="1" ht="14.25" customHeight="1" thickBot="1" x14ac:dyDescent="0.3">
      <c r="A21" s="628"/>
      <c r="B21" s="662"/>
      <c r="C21" s="662"/>
      <c r="D21" s="216" t="s">
        <v>38</v>
      </c>
      <c r="E21" s="217" t="s">
        <v>105</v>
      </c>
      <c r="F21" s="396">
        <v>20</v>
      </c>
      <c r="G21" s="630"/>
      <c r="H21" s="630"/>
      <c r="I21" s="630"/>
      <c r="J21" s="630"/>
      <c r="K21" s="630"/>
      <c r="L21" s="633"/>
    </row>
    <row r="22" spans="1:12" ht="14.25" customHeight="1" x14ac:dyDescent="0.25">
      <c r="B22" s="523"/>
      <c r="C22" s="431"/>
      <c r="E22" s="4" t="s">
        <v>29</v>
      </c>
      <c r="F22" s="10"/>
      <c r="G22" s="10"/>
      <c r="H22" s="173"/>
      <c r="I22" s="11"/>
      <c r="J22" s="11"/>
      <c r="K22" s="12">
        <f>SUM(K18:K21)</f>
        <v>6</v>
      </c>
      <c r="L22" s="12">
        <f>SUM(L18:L21)</f>
        <v>9</v>
      </c>
    </row>
    <row r="23" spans="1:12" ht="14.25" customHeight="1" thickBot="1" x14ac:dyDescent="0.3">
      <c r="A23" s="7" t="s">
        <v>30</v>
      </c>
      <c r="B23" s="8"/>
      <c r="E23" s="2"/>
    </row>
    <row r="24" spans="1:12" ht="14.25" customHeight="1" x14ac:dyDescent="0.25">
      <c r="A24" s="524" t="s">
        <v>13</v>
      </c>
      <c r="B24" s="526" t="s">
        <v>14</v>
      </c>
      <c r="C24" s="527"/>
      <c r="D24" s="528" t="s">
        <v>15</v>
      </c>
      <c r="E24" s="526" t="s">
        <v>16</v>
      </c>
      <c r="F24" s="503"/>
      <c r="G24" s="527"/>
      <c r="H24" s="530" t="s">
        <v>19</v>
      </c>
      <c r="I24" s="13" t="s">
        <v>20</v>
      </c>
      <c r="J24" s="13" t="s">
        <v>20</v>
      </c>
      <c r="K24" s="13" t="s">
        <v>21</v>
      </c>
      <c r="L24" s="14" t="s">
        <v>22</v>
      </c>
    </row>
    <row r="25" spans="1:12" ht="14.25" customHeight="1" x14ac:dyDescent="0.25">
      <c r="A25" s="525"/>
      <c r="B25" s="482"/>
      <c r="C25" s="472"/>
      <c r="D25" s="529"/>
      <c r="E25" s="482"/>
      <c r="F25" s="437"/>
      <c r="G25" s="472"/>
      <c r="H25" s="531"/>
      <c r="I25" s="15" t="s">
        <v>23</v>
      </c>
      <c r="J25" s="15" t="s">
        <v>24</v>
      </c>
      <c r="K25" s="15" t="s">
        <v>25</v>
      </c>
      <c r="L25" s="16" t="s">
        <v>26</v>
      </c>
    </row>
    <row r="26" spans="1:12" ht="14.25" customHeight="1" thickBot="1" x14ac:dyDescent="0.3">
      <c r="A26" s="660" t="s">
        <v>51</v>
      </c>
      <c r="B26" s="637"/>
      <c r="C26" s="638"/>
      <c r="D26" s="45"/>
      <c r="E26" s="598"/>
      <c r="F26" s="599"/>
      <c r="G26" s="600"/>
      <c r="H26" s="174"/>
      <c r="I26" s="45"/>
      <c r="J26" s="45"/>
      <c r="K26" s="45"/>
      <c r="L26" s="46">
        <v>12</v>
      </c>
    </row>
    <row r="27" spans="1:12" ht="14.25" customHeight="1" x14ac:dyDescent="0.25">
      <c r="D27" s="10" t="s">
        <v>31</v>
      </c>
      <c r="E27" s="17"/>
      <c r="F27" s="11"/>
      <c r="G27" s="11"/>
      <c r="H27" s="173"/>
      <c r="I27" s="11"/>
      <c r="K27" s="32">
        <f t="shared" ref="K27:L27" si="0">SUM(K26)</f>
        <v>0</v>
      </c>
      <c r="L27" s="32">
        <f t="shared" si="0"/>
        <v>12</v>
      </c>
    </row>
    <row r="28" spans="1:12" ht="14.25" customHeight="1" thickBot="1" x14ac:dyDescent="0.3">
      <c r="A28" s="7" t="s">
        <v>32</v>
      </c>
      <c r="B28" s="18"/>
      <c r="C28" s="19"/>
      <c r="D28" s="19"/>
      <c r="E28" s="2"/>
      <c r="F28" s="19"/>
      <c r="G28" s="19"/>
      <c r="H28" s="175"/>
      <c r="I28" s="19"/>
      <c r="J28" s="19"/>
      <c r="K28" s="19"/>
      <c r="L28" s="19"/>
    </row>
    <row r="29" spans="1:12" ht="14.25" customHeight="1" x14ac:dyDescent="0.25">
      <c r="A29" s="492" t="s">
        <v>15</v>
      </c>
      <c r="B29" s="493"/>
      <c r="C29" s="494"/>
      <c r="D29" s="480" t="s">
        <v>16</v>
      </c>
      <c r="E29" s="493"/>
      <c r="F29" s="494"/>
      <c r="G29" s="480" t="s">
        <v>33</v>
      </c>
      <c r="H29" s="493"/>
      <c r="I29" s="493"/>
      <c r="J29" s="494"/>
      <c r="K29" s="480" t="s">
        <v>34</v>
      </c>
      <c r="L29" s="481"/>
    </row>
    <row r="30" spans="1:12" ht="14.25" customHeight="1" thickBot="1" x14ac:dyDescent="0.3">
      <c r="A30" s="538"/>
      <c r="B30" s="458"/>
      <c r="C30" s="459"/>
      <c r="D30" s="521"/>
      <c r="E30" s="458"/>
      <c r="F30" s="459"/>
      <c r="G30" s="521"/>
      <c r="H30" s="458"/>
      <c r="I30" s="458"/>
      <c r="J30" s="459"/>
      <c r="K30" s="521"/>
      <c r="L30" s="522"/>
    </row>
    <row r="31" spans="1:12" ht="14.25" customHeight="1" x14ac:dyDescent="0.25">
      <c r="A31" s="471" t="s">
        <v>49</v>
      </c>
      <c r="B31" s="437"/>
      <c r="C31" s="472"/>
      <c r="D31" s="473" t="s">
        <v>227</v>
      </c>
      <c r="E31" s="437"/>
      <c r="F31" s="472"/>
      <c r="G31" s="465" t="s">
        <v>75</v>
      </c>
      <c r="H31" s="466"/>
      <c r="I31" s="466"/>
      <c r="J31" s="467"/>
      <c r="K31" s="474">
        <v>3</v>
      </c>
      <c r="L31" s="475"/>
    </row>
    <row r="32" spans="1:12" s="79" customFormat="1" ht="14.25" customHeight="1" x14ac:dyDescent="0.25">
      <c r="A32" s="476" t="s">
        <v>28</v>
      </c>
      <c r="B32" s="453"/>
      <c r="C32" s="477"/>
      <c r="D32" s="539" t="s">
        <v>278</v>
      </c>
      <c r="E32" s="453"/>
      <c r="F32" s="477"/>
      <c r="G32" s="465"/>
      <c r="H32" s="466"/>
      <c r="I32" s="466"/>
      <c r="J32" s="467"/>
      <c r="K32" s="478">
        <v>7</v>
      </c>
      <c r="L32" s="479"/>
    </row>
    <row r="33" spans="1:12" s="79" customFormat="1" ht="14.25" customHeight="1" x14ac:dyDescent="0.25">
      <c r="A33" s="476" t="s">
        <v>27</v>
      </c>
      <c r="B33" s="453"/>
      <c r="C33" s="477"/>
      <c r="D33" s="539" t="s">
        <v>279</v>
      </c>
      <c r="E33" s="453"/>
      <c r="F33" s="477"/>
      <c r="G33" s="465"/>
      <c r="H33" s="466"/>
      <c r="I33" s="466"/>
      <c r="J33" s="467"/>
      <c r="K33" s="478">
        <v>4</v>
      </c>
      <c r="L33" s="479"/>
    </row>
    <row r="34" spans="1:12" ht="13.5" customHeight="1" thickBot="1" x14ac:dyDescent="0.3">
      <c r="A34" s="454" t="s">
        <v>50</v>
      </c>
      <c r="B34" s="455"/>
      <c r="C34" s="456"/>
      <c r="D34" s="542" t="s">
        <v>280</v>
      </c>
      <c r="E34" s="455"/>
      <c r="F34" s="456"/>
      <c r="G34" s="468"/>
      <c r="H34" s="469"/>
      <c r="I34" s="469"/>
      <c r="J34" s="470"/>
      <c r="K34" s="460">
        <v>5</v>
      </c>
      <c r="L34" s="461"/>
    </row>
    <row r="35" spans="1:12" ht="14.25" customHeight="1" x14ac:dyDescent="0.25">
      <c r="A35" s="78"/>
      <c r="B35" s="78"/>
      <c r="C35" s="78"/>
      <c r="D35" s="10" t="s">
        <v>35</v>
      </c>
      <c r="E35" s="17"/>
      <c r="F35" s="11"/>
      <c r="G35" s="11"/>
      <c r="H35" s="173"/>
      <c r="I35" s="11"/>
      <c r="J35" s="20"/>
      <c r="K35" s="451">
        <f>SUM(K31:L34)</f>
        <v>19</v>
      </c>
      <c r="L35" s="437"/>
    </row>
    <row r="36" spans="1:12" ht="14.25" customHeight="1" x14ac:dyDescent="0.25">
      <c r="A36" s="56"/>
      <c r="B36" s="56"/>
      <c r="C36" s="56"/>
      <c r="D36" s="10" t="s">
        <v>36</v>
      </c>
      <c r="E36" s="17"/>
      <c r="F36" s="11"/>
      <c r="G36" s="11"/>
      <c r="H36" s="173"/>
      <c r="I36" s="11"/>
      <c r="K36" s="452">
        <f>L22+L27+K35</f>
        <v>40</v>
      </c>
      <c r="L36" s="453"/>
    </row>
    <row r="37" spans="1:12" ht="14.25" customHeight="1" thickBot="1" x14ac:dyDescent="0.3">
      <c r="A37" s="7" t="s">
        <v>37</v>
      </c>
      <c r="B37" s="19"/>
      <c r="C37" s="99"/>
      <c r="D37" s="21"/>
      <c r="E37" s="22"/>
      <c r="F37" s="21"/>
      <c r="G37" s="21"/>
      <c r="H37" s="176"/>
      <c r="I37" s="21"/>
      <c r="J37" s="21"/>
      <c r="K37" s="23"/>
      <c r="L37" s="24"/>
    </row>
    <row r="38" spans="1:12" ht="14.25" customHeight="1" x14ac:dyDescent="0.25">
      <c r="A38" s="446" t="s">
        <v>13</v>
      </c>
      <c r="B38" s="448" t="s">
        <v>14</v>
      </c>
      <c r="C38" s="565"/>
      <c r="D38" s="448" t="s">
        <v>15</v>
      </c>
      <c r="E38" s="448" t="s">
        <v>16</v>
      </c>
      <c r="F38" s="448" t="s">
        <v>17</v>
      </c>
      <c r="G38" s="448" t="s">
        <v>18</v>
      </c>
      <c r="H38" s="441" t="s">
        <v>19</v>
      </c>
      <c r="I38" s="49" t="s">
        <v>20</v>
      </c>
      <c r="J38" s="49" t="s">
        <v>20</v>
      </c>
      <c r="K38" s="49" t="s">
        <v>21</v>
      </c>
      <c r="L38" s="50" t="s">
        <v>22</v>
      </c>
    </row>
    <row r="39" spans="1:12" ht="15.75" thickBot="1" x14ac:dyDescent="0.3">
      <c r="A39" s="655"/>
      <c r="B39" s="650"/>
      <c r="C39" s="650"/>
      <c r="D39" s="650"/>
      <c r="E39" s="650"/>
      <c r="F39" s="650"/>
      <c r="G39" s="650"/>
      <c r="H39" s="650"/>
      <c r="I39" s="51" t="s">
        <v>23</v>
      </c>
      <c r="J39" s="51" t="s">
        <v>24</v>
      </c>
      <c r="K39" s="51" t="s">
        <v>25</v>
      </c>
      <c r="L39" s="52" t="s">
        <v>26</v>
      </c>
    </row>
    <row r="40" spans="1:12" s="80" customFormat="1" ht="15" customHeight="1" x14ac:dyDescent="0.25">
      <c r="A40" s="663" t="s">
        <v>163</v>
      </c>
      <c r="B40" s="665" t="s">
        <v>162</v>
      </c>
      <c r="C40" s="666"/>
      <c r="D40" s="213" t="s">
        <v>38</v>
      </c>
      <c r="E40" s="214" t="s">
        <v>79</v>
      </c>
      <c r="F40" s="395" t="s">
        <v>86</v>
      </c>
      <c r="G40" s="657" t="s">
        <v>172</v>
      </c>
      <c r="H40" s="657">
        <v>40</v>
      </c>
      <c r="I40" s="657"/>
      <c r="J40" s="657"/>
      <c r="K40" s="657"/>
      <c r="L40" s="632">
        <v>1</v>
      </c>
    </row>
    <row r="41" spans="1:12" s="80" customFormat="1" x14ac:dyDescent="0.25">
      <c r="A41" s="664"/>
      <c r="B41" s="667"/>
      <c r="C41" s="668"/>
      <c r="D41" s="213" t="s">
        <v>38</v>
      </c>
      <c r="E41" s="214" t="s">
        <v>105</v>
      </c>
      <c r="F41" s="395">
        <v>20</v>
      </c>
      <c r="G41" s="658"/>
      <c r="H41" s="658"/>
      <c r="I41" s="658"/>
      <c r="J41" s="658"/>
      <c r="K41" s="658"/>
      <c r="L41" s="656"/>
    </row>
    <row r="42" spans="1:12" s="297" customFormat="1" x14ac:dyDescent="0.25">
      <c r="A42" s="511" t="s">
        <v>135</v>
      </c>
      <c r="B42" s="512" t="s">
        <v>134</v>
      </c>
      <c r="C42" s="587"/>
      <c r="D42" s="113" t="s">
        <v>89</v>
      </c>
      <c r="E42" s="114" t="s">
        <v>82</v>
      </c>
      <c r="F42" s="513" t="s">
        <v>178</v>
      </c>
      <c r="G42" s="327" t="s">
        <v>86</v>
      </c>
      <c r="H42" s="513">
        <v>40</v>
      </c>
      <c r="I42" s="513">
        <v>2</v>
      </c>
      <c r="J42" s="513">
        <v>1</v>
      </c>
      <c r="K42" s="513">
        <v>3</v>
      </c>
      <c r="L42" s="514">
        <v>5</v>
      </c>
    </row>
    <row r="43" spans="1:12" s="297" customFormat="1" x14ac:dyDescent="0.25">
      <c r="A43" s="511"/>
      <c r="B43" s="587"/>
      <c r="C43" s="587"/>
      <c r="D43" s="113" t="s">
        <v>89</v>
      </c>
      <c r="E43" s="114" t="s">
        <v>88</v>
      </c>
      <c r="F43" s="513"/>
      <c r="G43" s="327" t="s">
        <v>86</v>
      </c>
      <c r="H43" s="513"/>
      <c r="I43" s="513"/>
      <c r="J43" s="513"/>
      <c r="K43" s="513"/>
      <c r="L43" s="514"/>
    </row>
    <row r="44" spans="1:12" s="385" customFormat="1" x14ac:dyDescent="0.25">
      <c r="A44" s="511" t="s">
        <v>163</v>
      </c>
      <c r="B44" s="512" t="s">
        <v>162</v>
      </c>
      <c r="C44" s="512"/>
      <c r="D44" s="113" t="s">
        <v>49</v>
      </c>
      <c r="E44" s="114" t="s">
        <v>88</v>
      </c>
      <c r="F44" s="198" t="s">
        <v>86</v>
      </c>
      <c r="G44" s="513" t="s">
        <v>173</v>
      </c>
      <c r="H44" s="513">
        <v>40</v>
      </c>
      <c r="I44" s="513">
        <v>2</v>
      </c>
      <c r="J44" s="513">
        <v>1</v>
      </c>
      <c r="K44" s="513">
        <v>3</v>
      </c>
      <c r="L44" s="514">
        <v>5</v>
      </c>
    </row>
    <row r="45" spans="1:12" s="385" customFormat="1" x14ac:dyDescent="0.25">
      <c r="A45" s="511"/>
      <c r="B45" s="512"/>
      <c r="C45" s="512"/>
      <c r="D45" s="113" t="s">
        <v>50</v>
      </c>
      <c r="E45" s="114" t="s">
        <v>105</v>
      </c>
      <c r="F45" s="198">
        <v>20</v>
      </c>
      <c r="G45" s="513"/>
      <c r="H45" s="513"/>
      <c r="I45" s="513"/>
      <c r="J45" s="513"/>
      <c r="K45" s="513"/>
      <c r="L45" s="514"/>
    </row>
    <row r="46" spans="1:12" x14ac:dyDescent="0.25">
      <c r="A46" s="438"/>
      <c r="B46" s="439"/>
      <c r="C46" s="439"/>
      <c r="D46" s="134" t="s">
        <v>39</v>
      </c>
      <c r="E46" s="153"/>
      <c r="F46" s="137"/>
      <c r="G46" s="137"/>
      <c r="H46" s="187"/>
      <c r="I46" s="137"/>
      <c r="J46" s="137"/>
      <c r="K46" s="266">
        <f>SUM(K40:K45)</f>
        <v>6</v>
      </c>
      <c r="L46" s="129">
        <f>SUM(L40:L45)</f>
        <v>11</v>
      </c>
    </row>
    <row r="47" spans="1:12" x14ac:dyDescent="0.25">
      <c r="A47" s="133"/>
      <c r="B47" s="133"/>
      <c r="C47" s="133"/>
      <c r="D47" s="134" t="s">
        <v>40</v>
      </c>
      <c r="E47" s="135"/>
      <c r="F47" s="136"/>
      <c r="G47" s="136"/>
      <c r="H47" s="185"/>
      <c r="I47" s="136"/>
      <c r="J47" s="136"/>
      <c r="K47" s="129">
        <f>SUM(K22,K27,K46)</f>
        <v>12</v>
      </c>
      <c r="L47" s="129">
        <f>(L22+L27+K35+L46)</f>
        <v>51</v>
      </c>
    </row>
    <row r="48" spans="1:12" ht="16.5" x14ac:dyDescent="0.3">
      <c r="A48" s="440" t="s">
        <v>41</v>
      </c>
      <c r="B48" s="431"/>
      <c r="C48" s="431"/>
      <c r="D48" s="27"/>
      <c r="E48" s="27"/>
      <c r="F48" s="27"/>
      <c r="G48" s="27"/>
      <c r="H48" s="178" t="s">
        <v>42</v>
      </c>
      <c r="I48" s="6"/>
      <c r="J48" s="6"/>
      <c r="K48" s="6"/>
      <c r="L48" s="5"/>
    </row>
    <row r="49" spans="1:12" x14ac:dyDescent="0.25">
      <c r="A49" s="28"/>
      <c r="B49" s="28"/>
      <c r="C49" s="28"/>
      <c r="D49" s="20"/>
      <c r="E49" s="2"/>
      <c r="F49" s="20"/>
      <c r="G49" s="20"/>
      <c r="H49" s="179"/>
      <c r="I49" s="28"/>
      <c r="J49" s="28"/>
      <c r="K49" s="28"/>
      <c r="L49" s="28"/>
    </row>
    <row r="50" spans="1:12" x14ac:dyDescent="0.25">
      <c r="A50" s="432" t="s">
        <v>43</v>
      </c>
      <c r="B50" s="431"/>
      <c r="C50" s="431"/>
      <c r="D50" s="27"/>
      <c r="E50" s="27"/>
      <c r="F50" s="27"/>
      <c r="G50" s="27"/>
      <c r="H50" s="433" t="s">
        <v>44</v>
      </c>
      <c r="I50" s="434"/>
      <c r="J50" s="434"/>
      <c r="K50" s="434"/>
      <c r="L50" s="434"/>
    </row>
    <row r="51" spans="1:12" ht="14.25" customHeight="1" x14ac:dyDescent="0.25">
      <c r="A51" s="435" t="s">
        <v>45</v>
      </c>
      <c r="B51" s="431"/>
      <c r="C51" s="431"/>
      <c r="D51" s="27"/>
      <c r="E51" s="27"/>
      <c r="F51" s="27"/>
      <c r="G51" s="27"/>
      <c r="H51" s="435" t="s">
        <v>46</v>
      </c>
      <c r="I51" s="431"/>
      <c r="J51" s="431"/>
      <c r="K51" s="431"/>
      <c r="L51" s="431"/>
    </row>
    <row r="52" spans="1:12" ht="6" customHeight="1" x14ac:dyDescent="0.25">
      <c r="A52" s="20"/>
      <c r="B52" s="20"/>
      <c r="C52" s="20"/>
      <c r="D52" s="20"/>
      <c r="E52" s="2"/>
      <c r="F52" s="20"/>
      <c r="G52" s="20"/>
      <c r="H52" s="180"/>
      <c r="I52" s="20"/>
      <c r="J52" s="20"/>
      <c r="K52" s="20"/>
      <c r="L52" s="20"/>
    </row>
    <row r="53" spans="1:12" ht="18" customHeight="1" x14ac:dyDescent="0.25">
      <c r="A53" s="20"/>
      <c r="B53" s="20"/>
      <c r="D53" s="436" t="s">
        <v>192</v>
      </c>
      <c r="E53" s="437"/>
      <c r="F53" s="437"/>
      <c r="G53" s="437"/>
      <c r="H53" s="437"/>
      <c r="I53" s="437"/>
      <c r="J53" s="20"/>
      <c r="K53" s="20"/>
      <c r="L53" s="20"/>
    </row>
    <row r="54" spans="1:12" ht="14.25" customHeight="1" x14ac:dyDescent="0.25">
      <c r="C54" s="20"/>
      <c r="D54" s="433" t="s">
        <v>47</v>
      </c>
      <c r="E54" s="434"/>
      <c r="F54" s="434"/>
      <c r="G54" s="434"/>
      <c r="H54" s="434"/>
      <c r="I54" s="434"/>
      <c r="J54" s="20"/>
      <c r="K54" s="20"/>
      <c r="L54" s="20"/>
    </row>
    <row r="55" spans="1:12" ht="14.25" customHeight="1" x14ac:dyDescent="0.25">
      <c r="A55" s="10" t="s">
        <v>48</v>
      </c>
      <c r="B55" s="20"/>
      <c r="C55" s="20"/>
      <c r="D55" s="430"/>
      <c r="E55" s="431"/>
      <c r="F55" s="431"/>
      <c r="G55" s="431"/>
      <c r="H55" s="431"/>
      <c r="I55" s="431"/>
      <c r="J55" s="29"/>
      <c r="K55" s="20"/>
      <c r="L55" s="20"/>
    </row>
    <row r="56" spans="1:12" ht="2.25" customHeight="1" x14ac:dyDescent="0.25">
      <c r="A56" s="564"/>
      <c r="B56" s="431"/>
      <c r="C56" s="431"/>
      <c r="D56" s="54"/>
      <c r="E56" s="31"/>
      <c r="F56" s="54"/>
      <c r="G56" s="54"/>
      <c r="H56" s="181"/>
      <c r="I56" s="563"/>
      <c r="J56" s="431"/>
      <c r="K56" s="563"/>
      <c r="L56" s="431"/>
    </row>
    <row r="57" spans="1:12" ht="14.25" customHeight="1" x14ac:dyDescent="0.25">
      <c r="E57" s="2"/>
    </row>
    <row r="58" spans="1:12" ht="14.25" customHeight="1" x14ac:dyDescent="0.25">
      <c r="E58" s="2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8" ht="14.25" customHeight="1" x14ac:dyDescent="0.25">
      <c r="E65" s="2"/>
    </row>
    <row r="66" spans="5:8" ht="14.25" customHeight="1" x14ac:dyDescent="0.25">
      <c r="E66" s="2"/>
    </row>
    <row r="67" spans="5:8" ht="14.25" customHeight="1" x14ac:dyDescent="0.25">
      <c r="E67" s="2"/>
      <c r="H67" s="53"/>
    </row>
    <row r="68" spans="5:8" ht="14.25" customHeight="1" x14ac:dyDescent="0.25">
      <c r="E68" s="2"/>
      <c r="H68" s="53"/>
    </row>
    <row r="69" spans="5:8" ht="14.25" customHeight="1" x14ac:dyDescent="0.25">
      <c r="E69" s="2"/>
      <c r="H69" s="53"/>
    </row>
    <row r="70" spans="5:8" ht="14.25" customHeight="1" x14ac:dyDescent="0.25">
      <c r="E70" s="2"/>
      <c r="H70" s="53"/>
    </row>
    <row r="71" spans="5:8" ht="14.25" customHeight="1" x14ac:dyDescent="0.25">
      <c r="E71" s="2"/>
      <c r="H71" s="53"/>
    </row>
    <row r="72" spans="5:8" ht="14.25" customHeight="1" x14ac:dyDescent="0.25">
      <c r="E72" s="2"/>
      <c r="H72" s="53"/>
    </row>
    <row r="73" spans="5:8" ht="14.25" customHeight="1" x14ac:dyDescent="0.25">
      <c r="E73" s="2"/>
      <c r="H73" s="53"/>
    </row>
    <row r="74" spans="5:8" ht="14.25" customHeight="1" x14ac:dyDescent="0.25">
      <c r="E74" s="2"/>
      <c r="H74" s="53"/>
    </row>
    <row r="75" spans="5:8" ht="14.25" customHeight="1" x14ac:dyDescent="0.25">
      <c r="E75" s="2"/>
      <c r="H75" s="53"/>
    </row>
    <row r="76" spans="5:8" ht="14.25" customHeight="1" x14ac:dyDescent="0.25">
      <c r="E76" s="2"/>
      <c r="H76" s="53"/>
    </row>
    <row r="77" spans="5:8" ht="14.25" customHeight="1" x14ac:dyDescent="0.25">
      <c r="E77" s="2"/>
      <c r="H77" s="53"/>
    </row>
    <row r="78" spans="5:8" ht="14.25" customHeight="1" x14ac:dyDescent="0.25">
      <c r="E78" s="2"/>
      <c r="H78" s="53"/>
    </row>
    <row r="79" spans="5:8" ht="14.25" customHeight="1" x14ac:dyDescent="0.25">
      <c r="E79" s="2"/>
      <c r="H79" s="53"/>
    </row>
    <row r="80" spans="5:8" ht="14.25" customHeight="1" x14ac:dyDescent="0.25">
      <c r="E80" s="2"/>
      <c r="H80" s="53"/>
    </row>
    <row r="81" spans="5:8" ht="14.25" customHeight="1" x14ac:dyDescent="0.25">
      <c r="E81" s="2"/>
      <c r="H81" s="53"/>
    </row>
    <row r="82" spans="5:8" ht="14.25" customHeight="1" x14ac:dyDescent="0.25">
      <c r="E82" s="2"/>
      <c r="H82" s="53"/>
    </row>
    <row r="83" spans="5:8" ht="14.25" customHeight="1" x14ac:dyDescent="0.25">
      <c r="E83" s="2"/>
      <c r="H83" s="53"/>
    </row>
    <row r="84" spans="5:8" ht="14.25" customHeight="1" x14ac:dyDescent="0.25">
      <c r="E84" s="2"/>
      <c r="H84" s="53"/>
    </row>
    <row r="85" spans="5:8" ht="14.25" customHeight="1" x14ac:dyDescent="0.25">
      <c r="E85" s="2"/>
      <c r="H85" s="53"/>
    </row>
    <row r="86" spans="5:8" ht="14.25" customHeight="1" x14ac:dyDescent="0.25">
      <c r="E86" s="2"/>
      <c r="H86" s="53"/>
    </row>
    <row r="87" spans="5:8" ht="14.25" customHeight="1" x14ac:dyDescent="0.25">
      <c r="E87" s="2"/>
      <c r="H87" s="53"/>
    </row>
    <row r="88" spans="5:8" ht="14.25" customHeight="1" x14ac:dyDescent="0.25">
      <c r="E88" s="2"/>
      <c r="H88" s="53"/>
    </row>
    <row r="89" spans="5:8" ht="14.25" customHeight="1" x14ac:dyDescent="0.25">
      <c r="E89" s="2"/>
      <c r="H89" s="53"/>
    </row>
    <row r="90" spans="5:8" ht="14.25" customHeight="1" x14ac:dyDescent="0.25">
      <c r="E90" s="2"/>
      <c r="H90" s="53"/>
    </row>
    <row r="91" spans="5:8" ht="14.25" customHeight="1" x14ac:dyDescent="0.25">
      <c r="E91" s="2"/>
      <c r="H91" s="53"/>
    </row>
    <row r="92" spans="5:8" ht="14.25" customHeight="1" x14ac:dyDescent="0.25">
      <c r="E92" s="2"/>
      <c r="H92" s="53"/>
    </row>
    <row r="93" spans="5:8" ht="14.25" customHeight="1" x14ac:dyDescent="0.25">
      <c r="E93" s="2"/>
      <c r="H93" s="53"/>
    </row>
    <row r="94" spans="5:8" ht="14.25" customHeight="1" x14ac:dyDescent="0.25">
      <c r="E94" s="2"/>
      <c r="H94" s="53"/>
    </row>
    <row r="95" spans="5:8" ht="14.25" customHeight="1" x14ac:dyDescent="0.25">
      <c r="E95" s="2"/>
      <c r="H95" s="53"/>
    </row>
    <row r="96" spans="5:8" ht="14.25" customHeight="1" x14ac:dyDescent="0.25">
      <c r="E96" s="2"/>
      <c r="H96" s="53"/>
    </row>
    <row r="97" spans="5:8" ht="14.25" customHeight="1" x14ac:dyDescent="0.25">
      <c r="E97" s="2"/>
      <c r="H97" s="53"/>
    </row>
    <row r="98" spans="5:8" ht="14.25" customHeight="1" x14ac:dyDescent="0.25">
      <c r="E98" s="2"/>
      <c r="H98" s="53"/>
    </row>
    <row r="99" spans="5:8" ht="14.25" customHeight="1" x14ac:dyDescent="0.25">
      <c r="E99" s="2"/>
      <c r="H99" s="53"/>
    </row>
    <row r="100" spans="5:8" ht="14.25" customHeight="1" x14ac:dyDescent="0.25">
      <c r="E100" s="2"/>
      <c r="H100" s="53"/>
    </row>
    <row r="101" spans="5:8" ht="14.25" customHeight="1" x14ac:dyDescent="0.25">
      <c r="E101" s="2"/>
      <c r="H101" s="53"/>
    </row>
    <row r="102" spans="5:8" ht="14.25" customHeight="1" x14ac:dyDescent="0.25">
      <c r="E102" s="2"/>
      <c r="H102" s="53"/>
    </row>
    <row r="103" spans="5:8" ht="14.25" customHeight="1" x14ac:dyDescent="0.25">
      <c r="E103" s="2"/>
      <c r="H103" s="53"/>
    </row>
    <row r="104" spans="5:8" ht="14.25" customHeight="1" x14ac:dyDescent="0.25">
      <c r="E104" s="2"/>
      <c r="H104" s="53"/>
    </row>
    <row r="105" spans="5:8" ht="14.25" customHeight="1" x14ac:dyDescent="0.25">
      <c r="E105" s="2"/>
      <c r="H105" s="53"/>
    </row>
    <row r="106" spans="5:8" ht="14.25" customHeight="1" x14ac:dyDescent="0.25">
      <c r="E106" s="2"/>
      <c r="H106" s="53"/>
    </row>
    <row r="107" spans="5:8" ht="14.25" customHeight="1" x14ac:dyDescent="0.25">
      <c r="E107" s="2"/>
      <c r="H107" s="53"/>
    </row>
    <row r="108" spans="5:8" ht="14.25" customHeight="1" x14ac:dyDescent="0.25">
      <c r="E108" s="2"/>
      <c r="H108" s="53"/>
    </row>
    <row r="109" spans="5:8" ht="14.25" customHeight="1" x14ac:dyDescent="0.25">
      <c r="E109" s="2"/>
      <c r="H109" s="53"/>
    </row>
    <row r="110" spans="5:8" ht="14.25" customHeight="1" x14ac:dyDescent="0.25">
      <c r="E110" s="2"/>
      <c r="H110" s="53"/>
    </row>
    <row r="111" spans="5:8" ht="14.25" customHeight="1" x14ac:dyDescent="0.25">
      <c r="E111" s="2"/>
      <c r="H111" s="53"/>
    </row>
    <row r="112" spans="5:8" ht="14.25" customHeight="1" x14ac:dyDescent="0.25">
      <c r="E112" s="2"/>
      <c r="H112" s="53"/>
    </row>
    <row r="113" spans="5:8" ht="14.25" customHeight="1" x14ac:dyDescent="0.25">
      <c r="E113" s="2"/>
      <c r="H113" s="53"/>
    </row>
    <row r="114" spans="5:8" ht="14.25" customHeight="1" x14ac:dyDescent="0.25">
      <c r="E114" s="2"/>
      <c r="H114" s="53"/>
    </row>
    <row r="115" spans="5:8" ht="14.25" customHeight="1" x14ac:dyDescent="0.25">
      <c r="E115" s="2"/>
      <c r="H115" s="53"/>
    </row>
    <row r="116" spans="5:8" ht="14.25" customHeight="1" x14ac:dyDescent="0.25">
      <c r="E116" s="2"/>
      <c r="H116" s="53"/>
    </row>
    <row r="117" spans="5:8" ht="14.25" customHeight="1" x14ac:dyDescent="0.25">
      <c r="E117" s="2"/>
      <c r="H117" s="53"/>
    </row>
    <row r="118" spans="5:8" ht="14.25" customHeight="1" x14ac:dyDescent="0.25">
      <c r="E118" s="2"/>
      <c r="H118" s="53"/>
    </row>
    <row r="119" spans="5:8" ht="14.25" customHeight="1" x14ac:dyDescent="0.25">
      <c r="E119" s="2"/>
      <c r="H119" s="53"/>
    </row>
    <row r="120" spans="5:8" ht="14.25" customHeight="1" x14ac:dyDescent="0.25">
      <c r="E120" s="2"/>
      <c r="H120" s="53"/>
    </row>
    <row r="121" spans="5:8" ht="14.25" customHeight="1" x14ac:dyDescent="0.25">
      <c r="E121" s="2"/>
      <c r="H121" s="53"/>
    </row>
    <row r="122" spans="5:8" ht="14.25" customHeight="1" x14ac:dyDescent="0.25">
      <c r="E122" s="2"/>
      <c r="H122" s="53"/>
    </row>
    <row r="123" spans="5:8" ht="14.25" customHeight="1" x14ac:dyDescent="0.25">
      <c r="E123" s="2"/>
      <c r="H123" s="53"/>
    </row>
    <row r="124" spans="5:8" ht="14.25" customHeight="1" x14ac:dyDescent="0.25">
      <c r="E124" s="2"/>
      <c r="H124" s="53"/>
    </row>
    <row r="125" spans="5:8" ht="14.25" customHeight="1" x14ac:dyDescent="0.25">
      <c r="E125" s="2"/>
      <c r="H125" s="53"/>
    </row>
    <row r="126" spans="5:8" ht="14.25" customHeight="1" x14ac:dyDescent="0.25">
      <c r="E126" s="2"/>
      <c r="H126" s="53"/>
    </row>
    <row r="127" spans="5:8" ht="14.25" customHeight="1" x14ac:dyDescent="0.25">
      <c r="E127" s="2"/>
      <c r="H127" s="53"/>
    </row>
    <row r="128" spans="5:8" ht="14.25" customHeight="1" x14ac:dyDescent="0.25">
      <c r="E128" s="2"/>
      <c r="H128" s="53"/>
    </row>
    <row r="129" spans="5:8" ht="14.25" customHeight="1" x14ac:dyDescent="0.25">
      <c r="E129" s="2"/>
      <c r="H129" s="53"/>
    </row>
    <row r="130" spans="5:8" ht="14.25" customHeight="1" x14ac:dyDescent="0.25">
      <c r="E130" s="2"/>
      <c r="H130" s="53"/>
    </row>
    <row r="131" spans="5:8" ht="14.25" customHeight="1" x14ac:dyDescent="0.25">
      <c r="E131" s="2"/>
      <c r="H131" s="53"/>
    </row>
    <row r="132" spans="5:8" ht="14.25" customHeight="1" x14ac:dyDescent="0.25">
      <c r="E132" s="2"/>
      <c r="H132" s="53"/>
    </row>
    <row r="133" spans="5:8" ht="14.25" customHeight="1" x14ac:dyDescent="0.25">
      <c r="E133" s="2"/>
      <c r="H133" s="53"/>
    </row>
    <row r="134" spans="5:8" ht="14.25" customHeight="1" x14ac:dyDescent="0.25">
      <c r="E134" s="2"/>
      <c r="H134" s="53"/>
    </row>
    <row r="135" spans="5:8" ht="14.25" customHeight="1" x14ac:dyDescent="0.25">
      <c r="E135" s="2"/>
      <c r="H135" s="53"/>
    </row>
    <row r="136" spans="5:8" ht="14.25" customHeight="1" x14ac:dyDescent="0.25">
      <c r="E136" s="2"/>
      <c r="H136" s="53"/>
    </row>
    <row r="137" spans="5:8" ht="14.25" customHeight="1" x14ac:dyDescent="0.25">
      <c r="E137" s="2"/>
      <c r="H137" s="53"/>
    </row>
    <row r="138" spans="5:8" ht="14.25" customHeight="1" x14ac:dyDescent="0.25">
      <c r="E138" s="2"/>
      <c r="H138" s="53"/>
    </row>
    <row r="139" spans="5:8" ht="14.25" customHeight="1" x14ac:dyDescent="0.25">
      <c r="E139" s="2"/>
      <c r="H139" s="53"/>
    </row>
    <row r="140" spans="5:8" ht="14.25" customHeight="1" x14ac:dyDescent="0.25">
      <c r="E140" s="2"/>
      <c r="H140" s="53"/>
    </row>
    <row r="141" spans="5:8" ht="14.25" customHeight="1" x14ac:dyDescent="0.25">
      <c r="E141" s="2"/>
      <c r="H141" s="53"/>
    </row>
    <row r="142" spans="5:8" ht="14.25" customHeight="1" x14ac:dyDescent="0.25">
      <c r="E142" s="2"/>
      <c r="H142" s="53"/>
    </row>
    <row r="143" spans="5:8" ht="14.25" customHeight="1" x14ac:dyDescent="0.25">
      <c r="E143" s="2"/>
      <c r="H143" s="53"/>
    </row>
    <row r="144" spans="5:8" ht="14.25" customHeight="1" x14ac:dyDescent="0.25">
      <c r="E144" s="2"/>
      <c r="H144" s="53"/>
    </row>
    <row r="145" spans="5:8" ht="14.25" customHeight="1" x14ac:dyDescent="0.25">
      <c r="E145" s="2"/>
      <c r="H145" s="53"/>
    </row>
    <row r="146" spans="5:8" ht="14.25" customHeight="1" x14ac:dyDescent="0.25">
      <c r="E146" s="2"/>
      <c r="H146" s="53"/>
    </row>
    <row r="147" spans="5:8" ht="14.25" customHeight="1" x14ac:dyDescent="0.25">
      <c r="E147" s="2"/>
      <c r="H147" s="53"/>
    </row>
    <row r="148" spans="5:8" ht="14.25" customHeight="1" x14ac:dyDescent="0.25">
      <c r="E148" s="2"/>
      <c r="H148" s="53"/>
    </row>
    <row r="149" spans="5:8" ht="14.25" customHeight="1" x14ac:dyDescent="0.25">
      <c r="E149" s="2"/>
      <c r="H149" s="53"/>
    </row>
    <row r="150" spans="5:8" ht="14.25" customHeight="1" x14ac:dyDescent="0.25">
      <c r="E150" s="2"/>
      <c r="H150" s="53"/>
    </row>
    <row r="151" spans="5:8" ht="14.25" customHeight="1" x14ac:dyDescent="0.25">
      <c r="E151" s="2"/>
      <c r="H151" s="53"/>
    </row>
    <row r="152" spans="5:8" ht="14.25" customHeight="1" x14ac:dyDescent="0.25">
      <c r="E152" s="2"/>
      <c r="H152" s="53"/>
    </row>
    <row r="153" spans="5:8" ht="14.25" customHeight="1" x14ac:dyDescent="0.25">
      <c r="E153" s="2"/>
      <c r="H153" s="53"/>
    </row>
    <row r="154" spans="5:8" ht="14.25" customHeight="1" x14ac:dyDescent="0.25">
      <c r="E154" s="2"/>
      <c r="H154" s="53"/>
    </row>
    <row r="155" spans="5:8" ht="14.25" customHeight="1" x14ac:dyDescent="0.25">
      <c r="E155" s="2"/>
      <c r="H155" s="53"/>
    </row>
    <row r="156" spans="5:8" ht="14.25" customHeight="1" x14ac:dyDescent="0.25">
      <c r="E156" s="2"/>
      <c r="H156" s="53"/>
    </row>
    <row r="157" spans="5:8" ht="14.25" customHeight="1" x14ac:dyDescent="0.25">
      <c r="E157" s="2"/>
      <c r="H157" s="53"/>
    </row>
    <row r="158" spans="5:8" ht="14.25" customHeight="1" x14ac:dyDescent="0.25">
      <c r="E158" s="2"/>
      <c r="H158" s="53"/>
    </row>
    <row r="159" spans="5:8" ht="14.25" customHeight="1" x14ac:dyDescent="0.25">
      <c r="E159" s="2"/>
      <c r="H159" s="53"/>
    </row>
    <row r="160" spans="5:8" ht="14.25" customHeight="1" x14ac:dyDescent="0.25">
      <c r="E160" s="2"/>
      <c r="H160" s="53"/>
    </row>
    <row r="161" spans="5:8" ht="14.25" customHeight="1" x14ac:dyDescent="0.25">
      <c r="E161" s="2"/>
      <c r="H161" s="53"/>
    </row>
    <row r="162" spans="5:8" ht="14.25" customHeight="1" x14ac:dyDescent="0.25">
      <c r="E162" s="2"/>
      <c r="H162" s="53"/>
    </row>
    <row r="163" spans="5:8" ht="14.25" customHeight="1" x14ac:dyDescent="0.25">
      <c r="E163" s="2"/>
      <c r="H163" s="53"/>
    </row>
    <row r="164" spans="5:8" ht="14.25" customHeight="1" x14ac:dyDescent="0.25">
      <c r="E164" s="2"/>
      <c r="H164" s="53"/>
    </row>
    <row r="165" spans="5:8" ht="14.25" customHeight="1" x14ac:dyDescent="0.25">
      <c r="E165" s="2"/>
      <c r="H165" s="53"/>
    </row>
    <row r="166" spans="5:8" ht="14.25" customHeight="1" x14ac:dyDescent="0.25">
      <c r="E166" s="2"/>
      <c r="H166" s="53"/>
    </row>
    <row r="167" spans="5:8" ht="14.25" customHeight="1" x14ac:dyDescent="0.25">
      <c r="E167" s="2"/>
      <c r="H167" s="53"/>
    </row>
    <row r="168" spans="5:8" ht="14.25" customHeight="1" x14ac:dyDescent="0.25">
      <c r="E168" s="2"/>
      <c r="H168" s="53"/>
    </row>
    <row r="169" spans="5:8" ht="14.25" customHeight="1" x14ac:dyDescent="0.25">
      <c r="E169" s="2"/>
      <c r="H169" s="53"/>
    </row>
    <row r="170" spans="5:8" ht="14.25" customHeight="1" x14ac:dyDescent="0.25">
      <c r="E170" s="2"/>
      <c r="H170" s="53"/>
    </row>
    <row r="171" spans="5:8" ht="14.25" customHeight="1" x14ac:dyDescent="0.25">
      <c r="E171" s="2"/>
      <c r="H171" s="53"/>
    </row>
    <row r="172" spans="5:8" ht="14.25" customHeight="1" x14ac:dyDescent="0.25">
      <c r="E172" s="2"/>
      <c r="H172" s="53"/>
    </row>
    <row r="173" spans="5:8" ht="14.25" customHeight="1" x14ac:dyDescent="0.25">
      <c r="E173" s="2"/>
      <c r="H173" s="53"/>
    </row>
    <row r="174" spans="5:8" ht="14.25" customHeight="1" x14ac:dyDescent="0.25">
      <c r="E174" s="2"/>
      <c r="H174" s="53"/>
    </row>
    <row r="175" spans="5:8" ht="14.25" customHeight="1" x14ac:dyDescent="0.25">
      <c r="E175" s="2"/>
      <c r="H175" s="53"/>
    </row>
    <row r="176" spans="5:8" ht="14.25" customHeight="1" x14ac:dyDescent="0.25">
      <c r="E176" s="2"/>
      <c r="H176" s="53"/>
    </row>
    <row r="177" spans="5:8" ht="14.25" customHeight="1" x14ac:dyDescent="0.25">
      <c r="E177" s="2"/>
      <c r="H177" s="53"/>
    </row>
    <row r="178" spans="5:8" ht="14.25" customHeight="1" x14ac:dyDescent="0.25">
      <c r="E178" s="2"/>
      <c r="H178" s="53"/>
    </row>
    <row r="179" spans="5:8" ht="14.25" customHeight="1" x14ac:dyDescent="0.25">
      <c r="E179" s="2"/>
      <c r="H179" s="53"/>
    </row>
    <row r="180" spans="5:8" ht="14.25" customHeight="1" x14ac:dyDescent="0.25">
      <c r="E180" s="2"/>
      <c r="H180" s="53"/>
    </row>
    <row r="181" spans="5:8" ht="14.25" customHeight="1" x14ac:dyDescent="0.25">
      <c r="E181" s="2"/>
      <c r="H181" s="53"/>
    </row>
    <row r="182" spans="5:8" ht="14.25" customHeight="1" x14ac:dyDescent="0.25">
      <c r="E182" s="2"/>
      <c r="H182" s="53"/>
    </row>
    <row r="183" spans="5:8" ht="14.25" customHeight="1" x14ac:dyDescent="0.25">
      <c r="E183" s="2"/>
      <c r="H183" s="53"/>
    </row>
    <row r="184" spans="5:8" ht="14.25" customHeight="1" x14ac:dyDescent="0.25">
      <c r="E184" s="2"/>
      <c r="H184" s="53"/>
    </row>
    <row r="185" spans="5:8" ht="14.25" customHeight="1" x14ac:dyDescent="0.25">
      <c r="E185" s="2"/>
      <c r="H185" s="53"/>
    </row>
    <row r="186" spans="5:8" ht="14.25" customHeight="1" x14ac:dyDescent="0.25">
      <c r="E186" s="2"/>
      <c r="H186" s="53"/>
    </row>
    <row r="187" spans="5:8" ht="14.25" customHeight="1" x14ac:dyDescent="0.25">
      <c r="E187" s="2"/>
      <c r="H187" s="53"/>
    </row>
    <row r="188" spans="5:8" ht="14.25" customHeight="1" x14ac:dyDescent="0.25">
      <c r="E188" s="2"/>
      <c r="H188" s="53"/>
    </row>
    <row r="189" spans="5:8" ht="14.25" customHeight="1" x14ac:dyDescent="0.25">
      <c r="E189" s="2"/>
      <c r="H189" s="53"/>
    </row>
    <row r="190" spans="5:8" ht="14.25" customHeight="1" x14ac:dyDescent="0.25">
      <c r="E190" s="2"/>
      <c r="H190" s="53"/>
    </row>
    <row r="191" spans="5:8" ht="14.25" customHeight="1" x14ac:dyDescent="0.25">
      <c r="E191" s="2"/>
      <c r="H191" s="53"/>
    </row>
    <row r="192" spans="5:8" ht="14.25" customHeight="1" x14ac:dyDescent="0.25">
      <c r="E192" s="2"/>
      <c r="H192" s="53"/>
    </row>
    <row r="193" spans="5:8" ht="14.25" customHeight="1" x14ac:dyDescent="0.25">
      <c r="E193" s="2"/>
      <c r="H193" s="53"/>
    </row>
    <row r="194" spans="5:8" ht="14.25" customHeight="1" x14ac:dyDescent="0.25">
      <c r="E194" s="2"/>
      <c r="H194" s="53"/>
    </row>
    <row r="195" spans="5:8" ht="14.25" customHeight="1" x14ac:dyDescent="0.25">
      <c r="E195" s="2"/>
      <c r="H195" s="53"/>
    </row>
    <row r="196" spans="5:8" ht="14.25" customHeight="1" x14ac:dyDescent="0.25">
      <c r="E196" s="2"/>
      <c r="H196" s="53"/>
    </row>
    <row r="197" spans="5:8" ht="14.25" customHeight="1" x14ac:dyDescent="0.25">
      <c r="E197" s="2"/>
      <c r="H197" s="53"/>
    </row>
    <row r="198" spans="5:8" ht="14.25" customHeight="1" x14ac:dyDescent="0.25">
      <c r="E198" s="2"/>
      <c r="H198" s="53"/>
    </row>
    <row r="199" spans="5:8" ht="14.25" customHeight="1" x14ac:dyDescent="0.25">
      <c r="E199" s="2"/>
      <c r="H199" s="53"/>
    </row>
    <row r="200" spans="5:8" ht="14.25" customHeight="1" x14ac:dyDescent="0.25">
      <c r="E200" s="2"/>
      <c r="H200" s="53"/>
    </row>
    <row r="201" spans="5:8" ht="14.25" customHeight="1" x14ac:dyDescent="0.25">
      <c r="E201" s="2"/>
      <c r="H201" s="53"/>
    </row>
    <row r="202" spans="5:8" ht="14.25" customHeight="1" x14ac:dyDescent="0.25">
      <c r="E202" s="2"/>
      <c r="H202" s="53"/>
    </row>
    <row r="203" spans="5:8" ht="14.25" customHeight="1" x14ac:dyDescent="0.25">
      <c r="E203" s="2"/>
      <c r="H203" s="53"/>
    </row>
    <row r="204" spans="5:8" ht="14.25" customHeight="1" x14ac:dyDescent="0.25">
      <c r="E204" s="2"/>
      <c r="H204" s="53"/>
    </row>
    <row r="205" spans="5:8" ht="14.25" customHeight="1" x14ac:dyDescent="0.25">
      <c r="E205" s="2"/>
      <c r="H205" s="53"/>
    </row>
    <row r="206" spans="5:8" ht="14.25" customHeight="1" x14ac:dyDescent="0.25">
      <c r="E206" s="2"/>
      <c r="H206" s="53"/>
    </row>
    <row r="207" spans="5:8" ht="14.25" customHeight="1" x14ac:dyDescent="0.25">
      <c r="E207" s="2"/>
      <c r="H207" s="53"/>
    </row>
    <row r="208" spans="5:8" ht="14.25" customHeight="1" x14ac:dyDescent="0.25">
      <c r="E208" s="2"/>
      <c r="H208" s="53"/>
    </row>
    <row r="209" spans="5:8" ht="14.25" customHeight="1" x14ac:dyDescent="0.25">
      <c r="E209" s="2"/>
      <c r="H209" s="53"/>
    </row>
    <row r="210" spans="5:8" ht="14.25" customHeight="1" x14ac:dyDescent="0.25">
      <c r="E210" s="2"/>
      <c r="H210" s="53"/>
    </row>
    <row r="211" spans="5:8" ht="14.25" customHeight="1" x14ac:dyDescent="0.25">
      <c r="E211" s="2"/>
      <c r="H211" s="53"/>
    </row>
    <row r="212" spans="5:8" ht="14.25" customHeight="1" x14ac:dyDescent="0.25">
      <c r="E212" s="2"/>
      <c r="H212" s="53"/>
    </row>
    <row r="213" spans="5:8" ht="14.25" customHeight="1" x14ac:dyDescent="0.25">
      <c r="E213" s="2"/>
      <c r="H213" s="53"/>
    </row>
    <row r="214" spans="5:8" ht="14.25" customHeight="1" x14ac:dyDescent="0.25">
      <c r="E214" s="2"/>
      <c r="H214" s="53"/>
    </row>
    <row r="215" spans="5:8" ht="14.25" customHeight="1" x14ac:dyDescent="0.25">
      <c r="E215" s="2"/>
      <c r="H215" s="53"/>
    </row>
    <row r="216" spans="5:8" ht="14.25" customHeight="1" x14ac:dyDescent="0.25">
      <c r="E216" s="2"/>
      <c r="H216" s="53"/>
    </row>
    <row r="217" spans="5:8" ht="14.25" customHeight="1" x14ac:dyDescent="0.25">
      <c r="E217" s="2"/>
      <c r="H217" s="53"/>
    </row>
    <row r="218" spans="5:8" ht="14.25" customHeight="1" x14ac:dyDescent="0.25">
      <c r="E218" s="2"/>
      <c r="H218" s="53"/>
    </row>
    <row r="219" spans="5:8" ht="14.25" customHeight="1" x14ac:dyDescent="0.25">
      <c r="E219" s="2"/>
      <c r="H219" s="53"/>
    </row>
    <row r="220" spans="5:8" ht="14.25" customHeight="1" x14ac:dyDescent="0.25">
      <c r="E220" s="2"/>
      <c r="H220" s="53"/>
    </row>
    <row r="221" spans="5:8" ht="14.25" customHeight="1" x14ac:dyDescent="0.25">
      <c r="E221" s="2"/>
      <c r="H221" s="53"/>
    </row>
    <row r="222" spans="5:8" ht="14.25" customHeight="1" x14ac:dyDescent="0.25">
      <c r="E222" s="2"/>
      <c r="H222" s="53"/>
    </row>
    <row r="223" spans="5:8" ht="14.25" customHeight="1" x14ac:dyDescent="0.25">
      <c r="E223" s="2"/>
      <c r="H223" s="53"/>
    </row>
    <row r="224" spans="5:8" ht="14.25" customHeight="1" x14ac:dyDescent="0.25">
      <c r="E224" s="2"/>
      <c r="H224" s="53"/>
    </row>
    <row r="225" spans="5:8" ht="14.25" customHeight="1" x14ac:dyDescent="0.25">
      <c r="E225" s="2"/>
      <c r="H225" s="53"/>
    </row>
    <row r="226" spans="5:8" ht="14.25" customHeight="1" x14ac:dyDescent="0.25">
      <c r="E226" s="2"/>
      <c r="H226" s="53"/>
    </row>
    <row r="227" spans="5:8" ht="14.25" customHeight="1" x14ac:dyDescent="0.25">
      <c r="E227" s="2"/>
      <c r="H227" s="53"/>
    </row>
    <row r="228" spans="5:8" ht="14.25" customHeight="1" x14ac:dyDescent="0.25">
      <c r="E228" s="2"/>
      <c r="H228" s="53"/>
    </row>
    <row r="229" spans="5:8" ht="14.25" customHeight="1" x14ac:dyDescent="0.25">
      <c r="E229" s="2"/>
      <c r="H229" s="53"/>
    </row>
    <row r="230" spans="5:8" ht="14.25" customHeight="1" x14ac:dyDescent="0.25">
      <c r="E230" s="2"/>
      <c r="H230" s="53"/>
    </row>
    <row r="231" spans="5:8" ht="14.25" customHeight="1" x14ac:dyDescent="0.25">
      <c r="E231" s="2"/>
      <c r="H231" s="53"/>
    </row>
    <row r="232" spans="5:8" ht="14.25" customHeight="1" x14ac:dyDescent="0.25">
      <c r="E232" s="2"/>
      <c r="H232" s="53"/>
    </row>
    <row r="233" spans="5:8" ht="14.25" customHeight="1" x14ac:dyDescent="0.25">
      <c r="E233" s="2"/>
      <c r="H233" s="53"/>
    </row>
    <row r="234" spans="5:8" ht="14.25" customHeight="1" x14ac:dyDescent="0.25">
      <c r="E234" s="2"/>
      <c r="H234" s="53"/>
    </row>
    <row r="235" spans="5:8" ht="14.25" customHeight="1" x14ac:dyDescent="0.25">
      <c r="E235" s="2"/>
      <c r="H235" s="53"/>
    </row>
    <row r="236" spans="5:8" ht="14.25" customHeight="1" x14ac:dyDescent="0.25">
      <c r="E236" s="2"/>
      <c r="H236" s="53"/>
    </row>
    <row r="237" spans="5:8" ht="14.25" customHeight="1" x14ac:dyDescent="0.25">
      <c r="E237" s="2"/>
      <c r="H237" s="53"/>
    </row>
    <row r="238" spans="5:8" ht="14.25" customHeight="1" x14ac:dyDescent="0.25">
      <c r="E238" s="2"/>
      <c r="H238" s="53"/>
    </row>
    <row r="239" spans="5:8" ht="14.25" customHeight="1" x14ac:dyDescent="0.25">
      <c r="E239" s="2"/>
      <c r="H239" s="53"/>
    </row>
    <row r="240" spans="5:8" ht="14.25" customHeight="1" x14ac:dyDescent="0.25">
      <c r="E240" s="2"/>
      <c r="H240" s="53"/>
    </row>
    <row r="241" spans="5:8" ht="14.25" customHeight="1" x14ac:dyDescent="0.25">
      <c r="E241" s="2"/>
      <c r="H241" s="53"/>
    </row>
    <row r="242" spans="5:8" ht="14.25" customHeight="1" x14ac:dyDescent="0.25">
      <c r="E242" s="2"/>
      <c r="H242" s="53"/>
    </row>
    <row r="243" spans="5:8" ht="14.25" customHeight="1" x14ac:dyDescent="0.25">
      <c r="E243" s="2"/>
      <c r="H243" s="53"/>
    </row>
    <row r="244" spans="5:8" ht="14.25" customHeight="1" x14ac:dyDescent="0.25">
      <c r="E244" s="2"/>
      <c r="H244" s="53"/>
    </row>
    <row r="245" spans="5:8" ht="14.25" customHeight="1" x14ac:dyDescent="0.25">
      <c r="E245" s="2"/>
      <c r="H245" s="53"/>
    </row>
    <row r="246" spans="5:8" ht="14.25" customHeight="1" x14ac:dyDescent="0.25">
      <c r="E246" s="2"/>
      <c r="H246" s="53"/>
    </row>
    <row r="247" spans="5:8" ht="14.25" customHeight="1" x14ac:dyDescent="0.25">
      <c r="E247" s="2"/>
      <c r="H247" s="53"/>
    </row>
    <row r="248" spans="5:8" ht="14.25" customHeight="1" x14ac:dyDescent="0.25">
      <c r="E248" s="2"/>
      <c r="H248" s="53"/>
    </row>
    <row r="249" spans="5:8" ht="14.25" customHeight="1" x14ac:dyDescent="0.25">
      <c r="E249" s="2"/>
      <c r="H249" s="53"/>
    </row>
    <row r="250" spans="5:8" ht="14.25" customHeight="1" x14ac:dyDescent="0.25">
      <c r="E250" s="2"/>
      <c r="H250" s="53"/>
    </row>
    <row r="251" spans="5:8" ht="14.25" customHeight="1" x14ac:dyDescent="0.25">
      <c r="E251" s="2"/>
      <c r="H251" s="53"/>
    </row>
    <row r="252" spans="5:8" ht="14.25" customHeight="1" x14ac:dyDescent="0.25">
      <c r="E252" s="2"/>
      <c r="H252" s="53"/>
    </row>
    <row r="253" spans="5:8" ht="14.25" customHeight="1" x14ac:dyDescent="0.25">
      <c r="E253" s="2"/>
      <c r="H253" s="53"/>
    </row>
    <row r="254" spans="5:8" ht="14.25" customHeight="1" x14ac:dyDescent="0.25">
      <c r="E254" s="2"/>
      <c r="H254" s="53"/>
    </row>
    <row r="255" spans="5:8" ht="14.25" customHeight="1" x14ac:dyDescent="0.25">
      <c r="E255" s="2"/>
      <c r="H255" s="53"/>
    </row>
    <row r="256" spans="5:8" ht="14.25" customHeight="1" x14ac:dyDescent="0.25">
      <c r="E256" s="2"/>
      <c r="H256" s="53"/>
    </row>
    <row r="257" spans="5:8" ht="14.25" customHeight="1" x14ac:dyDescent="0.25">
      <c r="E257" s="2"/>
      <c r="H257" s="53"/>
    </row>
    <row r="258" spans="5:8" ht="14.25" customHeight="1" x14ac:dyDescent="0.25">
      <c r="E258" s="2"/>
      <c r="H258" s="53"/>
    </row>
    <row r="259" spans="5:8" ht="14.25" customHeight="1" x14ac:dyDescent="0.25">
      <c r="E259" s="2"/>
      <c r="H259" s="53"/>
    </row>
    <row r="260" spans="5:8" ht="14.25" customHeight="1" x14ac:dyDescent="0.25">
      <c r="E260" s="2"/>
      <c r="H260" s="53"/>
    </row>
    <row r="261" spans="5:8" ht="14.25" customHeight="1" x14ac:dyDescent="0.25">
      <c r="E261" s="2"/>
      <c r="H261" s="53"/>
    </row>
    <row r="262" spans="5:8" ht="14.25" customHeight="1" x14ac:dyDescent="0.25">
      <c r="E262" s="2"/>
      <c r="H262" s="53"/>
    </row>
    <row r="263" spans="5:8" ht="14.25" customHeight="1" x14ac:dyDescent="0.25">
      <c r="E263" s="2"/>
      <c r="H263" s="53"/>
    </row>
    <row r="264" spans="5:8" ht="14.25" customHeight="1" x14ac:dyDescent="0.25">
      <c r="E264" s="2"/>
      <c r="H264" s="53"/>
    </row>
    <row r="265" spans="5:8" ht="14.25" customHeight="1" x14ac:dyDescent="0.25">
      <c r="E265" s="2"/>
      <c r="H265" s="53"/>
    </row>
    <row r="266" spans="5:8" ht="14.25" customHeight="1" x14ac:dyDescent="0.25">
      <c r="E266" s="2"/>
      <c r="H266" s="53"/>
    </row>
    <row r="267" spans="5:8" ht="14.25" customHeight="1" x14ac:dyDescent="0.25">
      <c r="E267" s="2"/>
      <c r="H267" s="53"/>
    </row>
    <row r="268" spans="5:8" ht="14.25" customHeight="1" x14ac:dyDescent="0.25">
      <c r="E268" s="2"/>
      <c r="H268" s="53"/>
    </row>
    <row r="269" spans="5:8" ht="14.25" customHeight="1" x14ac:dyDescent="0.25">
      <c r="E269" s="2"/>
      <c r="H269" s="53"/>
    </row>
    <row r="270" spans="5:8" ht="14.25" customHeight="1" x14ac:dyDescent="0.25">
      <c r="E270" s="2"/>
      <c r="H270" s="53"/>
    </row>
    <row r="271" spans="5:8" ht="14.25" customHeight="1" x14ac:dyDescent="0.25">
      <c r="E271" s="2"/>
      <c r="H271" s="53"/>
    </row>
    <row r="272" spans="5:8" ht="14.25" customHeight="1" x14ac:dyDescent="0.25">
      <c r="E272" s="2"/>
      <c r="H272" s="53"/>
    </row>
    <row r="273" spans="5:8" ht="14.25" customHeight="1" x14ac:dyDescent="0.25">
      <c r="E273" s="2"/>
      <c r="H273" s="53"/>
    </row>
    <row r="274" spans="5:8" ht="14.25" customHeight="1" x14ac:dyDescent="0.25">
      <c r="E274" s="2"/>
      <c r="H274" s="53"/>
    </row>
    <row r="275" spans="5:8" ht="14.25" customHeight="1" x14ac:dyDescent="0.25">
      <c r="E275" s="2"/>
      <c r="H275" s="53"/>
    </row>
    <row r="276" spans="5:8" ht="14.25" customHeight="1" x14ac:dyDescent="0.25">
      <c r="E276" s="2"/>
      <c r="H276" s="53"/>
    </row>
    <row r="277" spans="5:8" ht="14.25" customHeight="1" x14ac:dyDescent="0.25">
      <c r="E277" s="2"/>
      <c r="H277" s="53"/>
    </row>
    <row r="278" spans="5:8" ht="14.25" customHeight="1" x14ac:dyDescent="0.25">
      <c r="E278" s="2"/>
      <c r="H278" s="53"/>
    </row>
    <row r="279" spans="5:8" ht="14.25" customHeight="1" x14ac:dyDescent="0.25">
      <c r="E279" s="2"/>
      <c r="H279" s="53"/>
    </row>
    <row r="280" spans="5:8" ht="14.25" customHeight="1" x14ac:dyDescent="0.25">
      <c r="E280" s="2"/>
      <c r="H280" s="53"/>
    </row>
    <row r="281" spans="5:8" ht="14.25" customHeight="1" x14ac:dyDescent="0.25">
      <c r="E281" s="2"/>
      <c r="H281" s="53"/>
    </row>
    <row r="282" spans="5:8" ht="14.25" customHeight="1" x14ac:dyDescent="0.25">
      <c r="E282" s="2"/>
      <c r="H282" s="53"/>
    </row>
    <row r="283" spans="5:8" ht="14.25" customHeight="1" x14ac:dyDescent="0.25">
      <c r="E283" s="2"/>
      <c r="H283" s="53"/>
    </row>
    <row r="284" spans="5:8" ht="14.25" customHeight="1" x14ac:dyDescent="0.25">
      <c r="E284" s="2"/>
      <c r="H284" s="53"/>
    </row>
    <row r="285" spans="5:8" ht="14.25" customHeight="1" x14ac:dyDescent="0.25">
      <c r="E285" s="2"/>
      <c r="H285" s="53"/>
    </row>
    <row r="286" spans="5:8" ht="14.25" customHeight="1" x14ac:dyDescent="0.25">
      <c r="E286" s="2"/>
      <c r="H286" s="53"/>
    </row>
    <row r="287" spans="5:8" ht="14.25" customHeight="1" x14ac:dyDescent="0.25">
      <c r="E287" s="2"/>
      <c r="H287" s="53"/>
    </row>
    <row r="288" spans="5:8" ht="14.25" customHeight="1" x14ac:dyDescent="0.25">
      <c r="E288" s="2"/>
      <c r="H288" s="53"/>
    </row>
    <row r="289" spans="5:8" ht="14.25" customHeight="1" x14ac:dyDescent="0.25">
      <c r="E289" s="2"/>
      <c r="H289" s="53"/>
    </row>
    <row r="290" spans="5:8" ht="14.25" customHeight="1" x14ac:dyDescent="0.25">
      <c r="E290" s="2"/>
      <c r="H290" s="53"/>
    </row>
    <row r="291" spans="5:8" ht="14.25" customHeight="1" x14ac:dyDescent="0.25">
      <c r="E291" s="2"/>
      <c r="H291" s="53"/>
    </row>
    <row r="292" spans="5:8" ht="14.25" customHeight="1" x14ac:dyDescent="0.25">
      <c r="E292" s="2"/>
      <c r="H292" s="53"/>
    </row>
    <row r="293" spans="5:8" ht="14.25" customHeight="1" x14ac:dyDescent="0.25">
      <c r="E293" s="2"/>
      <c r="H293" s="53"/>
    </row>
    <row r="294" spans="5:8" ht="14.25" customHeight="1" x14ac:dyDescent="0.25">
      <c r="E294" s="2"/>
      <c r="H294" s="53"/>
    </row>
    <row r="295" spans="5:8" ht="14.25" customHeight="1" x14ac:dyDescent="0.25">
      <c r="E295" s="2"/>
      <c r="H295" s="53"/>
    </row>
    <row r="296" spans="5:8" ht="14.25" customHeight="1" x14ac:dyDescent="0.25">
      <c r="E296" s="2"/>
      <c r="H296" s="53"/>
    </row>
    <row r="297" spans="5:8" ht="14.25" customHeight="1" x14ac:dyDescent="0.25">
      <c r="E297" s="2"/>
      <c r="H297" s="53"/>
    </row>
    <row r="298" spans="5:8" ht="14.25" customHeight="1" x14ac:dyDescent="0.25">
      <c r="E298" s="2"/>
      <c r="H298" s="53"/>
    </row>
    <row r="299" spans="5:8" ht="14.25" customHeight="1" x14ac:dyDescent="0.25">
      <c r="E299" s="2"/>
      <c r="H299" s="53"/>
    </row>
    <row r="300" spans="5:8" ht="14.25" customHeight="1" x14ac:dyDescent="0.25">
      <c r="E300" s="2"/>
      <c r="H300" s="53"/>
    </row>
    <row r="301" spans="5:8" ht="14.25" customHeight="1" x14ac:dyDescent="0.25">
      <c r="E301" s="2"/>
      <c r="H301" s="53"/>
    </row>
    <row r="302" spans="5:8" ht="14.25" customHeight="1" x14ac:dyDescent="0.25">
      <c r="E302" s="2"/>
      <c r="H302" s="53"/>
    </row>
    <row r="303" spans="5:8" ht="14.25" customHeight="1" x14ac:dyDescent="0.25">
      <c r="E303" s="2"/>
      <c r="H303" s="53"/>
    </row>
    <row r="304" spans="5:8" ht="14.25" customHeight="1" x14ac:dyDescent="0.25">
      <c r="E304" s="2"/>
      <c r="H304" s="53"/>
    </row>
    <row r="305" spans="5:8" ht="14.25" customHeight="1" x14ac:dyDescent="0.25">
      <c r="E305" s="2"/>
      <c r="H305" s="53"/>
    </row>
    <row r="306" spans="5:8" ht="14.25" customHeight="1" x14ac:dyDescent="0.25">
      <c r="E306" s="2"/>
      <c r="H306" s="53"/>
    </row>
    <row r="307" spans="5:8" ht="14.25" customHeight="1" x14ac:dyDescent="0.25">
      <c r="E307" s="2"/>
      <c r="H307" s="53"/>
    </row>
    <row r="308" spans="5:8" ht="14.25" customHeight="1" x14ac:dyDescent="0.25">
      <c r="E308" s="2"/>
      <c r="H308" s="53"/>
    </row>
    <row r="309" spans="5:8" ht="14.25" customHeight="1" x14ac:dyDescent="0.25">
      <c r="E309" s="2"/>
      <c r="H309" s="53"/>
    </row>
    <row r="310" spans="5:8" ht="14.25" customHeight="1" x14ac:dyDescent="0.25">
      <c r="E310" s="2"/>
      <c r="H310" s="53"/>
    </row>
    <row r="311" spans="5:8" ht="14.25" customHeight="1" x14ac:dyDescent="0.25">
      <c r="E311" s="2"/>
      <c r="H311" s="53"/>
    </row>
    <row r="312" spans="5:8" ht="14.25" customHeight="1" x14ac:dyDescent="0.25">
      <c r="E312" s="2"/>
      <c r="H312" s="53"/>
    </row>
    <row r="313" spans="5:8" ht="14.25" customHeight="1" x14ac:dyDescent="0.25">
      <c r="E313" s="2"/>
      <c r="H313" s="53"/>
    </row>
    <row r="314" spans="5:8" ht="14.25" customHeight="1" x14ac:dyDescent="0.25">
      <c r="E314" s="2"/>
      <c r="H314" s="53"/>
    </row>
    <row r="315" spans="5:8" ht="14.25" customHeight="1" x14ac:dyDescent="0.25">
      <c r="E315" s="2"/>
      <c r="H315" s="53"/>
    </row>
    <row r="316" spans="5:8" ht="14.25" customHeight="1" x14ac:dyDescent="0.25">
      <c r="E316" s="2"/>
      <c r="H316" s="53"/>
    </row>
    <row r="317" spans="5:8" ht="14.25" customHeight="1" x14ac:dyDescent="0.25">
      <c r="E317" s="2"/>
      <c r="H317" s="53"/>
    </row>
    <row r="318" spans="5:8" ht="14.25" customHeight="1" x14ac:dyDescent="0.25">
      <c r="E318" s="2"/>
      <c r="H318" s="53"/>
    </row>
    <row r="319" spans="5:8" ht="14.25" customHeight="1" x14ac:dyDescent="0.25">
      <c r="E319" s="2"/>
      <c r="H319" s="53"/>
    </row>
    <row r="320" spans="5:8" ht="14.25" customHeight="1" x14ac:dyDescent="0.25">
      <c r="E320" s="2"/>
      <c r="H320" s="53"/>
    </row>
    <row r="321" spans="5:8" ht="14.25" customHeight="1" x14ac:dyDescent="0.25">
      <c r="E321" s="2"/>
      <c r="H321" s="53"/>
    </row>
    <row r="322" spans="5:8" ht="14.25" customHeight="1" x14ac:dyDescent="0.25">
      <c r="E322" s="2"/>
      <c r="H322" s="53"/>
    </row>
    <row r="323" spans="5:8" ht="14.25" customHeight="1" x14ac:dyDescent="0.25">
      <c r="E323" s="2"/>
      <c r="H323" s="53"/>
    </row>
    <row r="324" spans="5:8" ht="14.25" customHeight="1" x14ac:dyDescent="0.25">
      <c r="E324" s="2"/>
      <c r="H324" s="53"/>
    </row>
    <row r="325" spans="5:8" ht="14.25" customHeight="1" x14ac:dyDescent="0.25">
      <c r="E325" s="2"/>
      <c r="H325" s="53"/>
    </row>
    <row r="326" spans="5:8" ht="14.25" customHeight="1" x14ac:dyDescent="0.25">
      <c r="E326" s="2"/>
      <c r="H326" s="53"/>
    </row>
    <row r="327" spans="5:8" ht="14.25" customHeight="1" x14ac:dyDescent="0.25">
      <c r="E327" s="2"/>
      <c r="H327" s="53"/>
    </row>
    <row r="328" spans="5:8" ht="14.25" customHeight="1" x14ac:dyDescent="0.25">
      <c r="E328" s="2"/>
      <c r="H328" s="53"/>
    </row>
    <row r="329" spans="5:8" ht="14.25" customHeight="1" x14ac:dyDescent="0.25">
      <c r="E329" s="2"/>
      <c r="H329" s="53"/>
    </row>
    <row r="330" spans="5:8" ht="14.25" customHeight="1" x14ac:dyDescent="0.25">
      <c r="E330" s="2"/>
      <c r="H330" s="53"/>
    </row>
    <row r="331" spans="5:8" ht="14.25" customHeight="1" x14ac:dyDescent="0.25">
      <c r="E331" s="2"/>
      <c r="H331" s="53"/>
    </row>
    <row r="332" spans="5:8" ht="14.25" customHeight="1" x14ac:dyDescent="0.25">
      <c r="E332" s="2"/>
      <c r="H332" s="53"/>
    </row>
    <row r="333" spans="5:8" ht="14.25" customHeight="1" x14ac:dyDescent="0.25">
      <c r="E333" s="2"/>
      <c r="H333" s="53"/>
    </row>
    <row r="334" spans="5:8" ht="14.25" customHeight="1" x14ac:dyDescent="0.25">
      <c r="E334" s="2"/>
      <c r="H334" s="53"/>
    </row>
    <row r="335" spans="5:8" ht="14.25" customHeight="1" x14ac:dyDescent="0.25">
      <c r="E335" s="2"/>
      <c r="H335" s="53"/>
    </row>
    <row r="336" spans="5:8" ht="14.25" customHeight="1" x14ac:dyDescent="0.25">
      <c r="E336" s="2"/>
      <c r="H336" s="53"/>
    </row>
    <row r="337" spans="5:8" ht="14.25" customHeight="1" x14ac:dyDescent="0.25">
      <c r="E337" s="2"/>
      <c r="H337" s="53"/>
    </row>
    <row r="338" spans="5:8" ht="14.25" customHeight="1" x14ac:dyDescent="0.25">
      <c r="E338" s="2"/>
      <c r="H338" s="53"/>
    </row>
    <row r="339" spans="5:8" ht="14.25" customHeight="1" x14ac:dyDescent="0.25">
      <c r="E339" s="2"/>
      <c r="H339" s="53"/>
    </row>
    <row r="340" spans="5:8" ht="14.25" customHeight="1" x14ac:dyDescent="0.25">
      <c r="E340" s="2"/>
      <c r="H340" s="53"/>
    </row>
    <row r="341" spans="5:8" ht="14.25" customHeight="1" x14ac:dyDescent="0.25">
      <c r="E341" s="2"/>
      <c r="H341" s="53"/>
    </row>
    <row r="342" spans="5:8" ht="14.25" customHeight="1" x14ac:dyDescent="0.25">
      <c r="E342" s="2"/>
      <c r="H342" s="53"/>
    </row>
    <row r="343" spans="5:8" ht="14.25" customHeight="1" x14ac:dyDescent="0.25">
      <c r="E343" s="2"/>
      <c r="H343" s="53"/>
    </row>
    <row r="344" spans="5:8" ht="14.25" customHeight="1" x14ac:dyDescent="0.25">
      <c r="E344" s="2"/>
      <c r="H344" s="53"/>
    </row>
    <row r="345" spans="5:8" ht="14.25" customHeight="1" x14ac:dyDescent="0.25">
      <c r="E345" s="2"/>
      <c r="H345" s="53"/>
    </row>
    <row r="346" spans="5:8" ht="14.25" customHeight="1" x14ac:dyDescent="0.25">
      <c r="E346" s="2"/>
      <c r="H346" s="53"/>
    </row>
    <row r="347" spans="5:8" ht="14.25" customHeight="1" x14ac:dyDescent="0.25">
      <c r="E347" s="2"/>
      <c r="H347" s="53"/>
    </row>
    <row r="348" spans="5:8" ht="14.25" customHeight="1" x14ac:dyDescent="0.25">
      <c r="E348" s="2"/>
      <c r="H348" s="53"/>
    </row>
    <row r="349" spans="5:8" ht="14.25" customHeight="1" x14ac:dyDescent="0.25">
      <c r="E349" s="2"/>
      <c r="H349" s="53"/>
    </row>
    <row r="350" spans="5:8" ht="14.25" customHeight="1" x14ac:dyDescent="0.25">
      <c r="E350" s="2"/>
      <c r="H350" s="53"/>
    </row>
    <row r="351" spans="5:8" ht="14.25" customHeight="1" x14ac:dyDescent="0.25">
      <c r="E351" s="2"/>
      <c r="H351" s="53"/>
    </row>
    <row r="352" spans="5:8" ht="14.25" customHeight="1" x14ac:dyDescent="0.25">
      <c r="E352" s="2"/>
      <c r="H352" s="53"/>
    </row>
    <row r="353" spans="5:8" ht="14.25" customHeight="1" x14ac:dyDescent="0.25">
      <c r="E353" s="2"/>
      <c r="H353" s="53"/>
    </row>
    <row r="354" spans="5:8" ht="14.25" customHeight="1" x14ac:dyDescent="0.25">
      <c r="E354" s="2"/>
      <c r="H354" s="53"/>
    </row>
    <row r="355" spans="5:8" ht="14.25" customHeight="1" x14ac:dyDescent="0.25">
      <c r="E355" s="2"/>
      <c r="H355" s="53"/>
    </row>
    <row r="356" spans="5:8" ht="14.25" customHeight="1" x14ac:dyDescent="0.25">
      <c r="E356" s="2"/>
      <c r="H356" s="53"/>
    </row>
    <row r="357" spans="5:8" ht="14.25" customHeight="1" x14ac:dyDescent="0.25">
      <c r="E357" s="2"/>
      <c r="H357" s="53"/>
    </row>
    <row r="358" spans="5:8" ht="14.25" customHeight="1" x14ac:dyDescent="0.25">
      <c r="E358" s="2"/>
      <c r="H358" s="53"/>
    </row>
    <row r="359" spans="5:8" ht="14.25" customHeight="1" x14ac:dyDescent="0.25">
      <c r="E359" s="2"/>
      <c r="H359" s="53"/>
    </row>
    <row r="360" spans="5:8" ht="14.25" customHeight="1" x14ac:dyDescent="0.25">
      <c r="E360" s="2"/>
      <c r="H360" s="53"/>
    </row>
    <row r="361" spans="5:8" ht="14.25" customHeight="1" x14ac:dyDescent="0.25">
      <c r="E361" s="2"/>
      <c r="H361" s="53"/>
    </row>
    <row r="362" spans="5:8" ht="14.25" customHeight="1" x14ac:dyDescent="0.25">
      <c r="E362" s="2"/>
      <c r="H362" s="53"/>
    </row>
    <row r="363" spans="5:8" ht="14.25" customHeight="1" x14ac:dyDescent="0.25">
      <c r="E363" s="2"/>
      <c r="H363" s="53"/>
    </row>
    <row r="364" spans="5:8" ht="14.25" customHeight="1" x14ac:dyDescent="0.25">
      <c r="E364" s="2"/>
      <c r="H364" s="53"/>
    </row>
    <row r="365" spans="5:8" ht="14.25" customHeight="1" x14ac:dyDescent="0.25">
      <c r="E365" s="2"/>
      <c r="H365" s="53"/>
    </row>
    <row r="366" spans="5:8" ht="14.25" customHeight="1" x14ac:dyDescent="0.25">
      <c r="E366" s="2"/>
      <c r="H366" s="53"/>
    </row>
    <row r="367" spans="5:8" ht="14.25" customHeight="1" x14ac:dyDescent="0.25">
      <c r="E367" s="2"/>
      <c r="H367" s="53"/>
    </row>
    <row r="368" spans="5:8" ht="14.25" customHeight="1" x14ac:dyDescent="0.25">
      <c r="E368" s="2"/>
      <c r="H368" s="53"/>
    </row>
    <row r="369" spans="5:8" ht="14.25" customHeight="1" x14ac:dyDescent="0.25">
      <c r="E369" s="2"/>
      <c r="H369" s="53"/>
    </row>
    <row r="370" spans="5:8" ht="14.25" customHeight="1" x14ac:dyDescent="0.25">
      <c r="E370" s="2"/>
      <c r="H370" s="53"/>
    </row>
    <row r="371" spans="5:8" ht="14.25" customHeight="1" x14ac:dyDescent="0.25">
      <c r="E371" s="2"/>
      <c r="H371" s="53"/>
    </row>
    <row r="372" spans="5:8" ht="14.25" customHeight="1" x14ac:dyDescent="0.25">
      <c r="E372" s="2"/>
      <c r="H372" s="53"/>
    </row>
    <row r="373" spans="5:8" ht="14.25" customHeight="1" x14ac:dyDescent="0.25">
      <c r="E373" s="2"/>
      <c r="H373" s="53"/>
    </row>
    <row r="374" spans="5:8" ht="14.25" customHeight="1" x14ac:dyDescent="0.25">
      <c r="E374" s="2"/>
      <c r="H374" s="53"/>
    </row>
    <row r="375" spans="5:8" ht="14.25" customHeight="1" x14ac:dyDescent="0.25">
      <c r="E375" s="2"/>
      <c r="H375" s="53"/>
    </row>
    <row r="376" spans="5:8" ht="14.25" customHeight="1" x14ac:dyDescent="0.25">
      <c r="E376" s="2"/>
      <c r="H376" s="53"/>
    </row>
    <row r="377" spans="5:8" ht="14.25" customHeight="1" x14ac:dyDescent="0.25">
      <c r="E377" s="2"/>
      <c r="H377" s="53"/>
    </row>
    <row r="378" spans="5:8" ht="14.25" customHeight="1" x14ac:dyDescent="0.25">
      <c r="E378" s="2"/>
      <c r="H378" s="53"/>
    </row>
    <row r="379" spans="5:8" ht="14.25" customHeight="1" x14ac:dyDescent="0.25">
      <c r="E379" s="2"/>
      <c r="H379" s="53"/>
    </row>
    <row r="380" spans="5:8" ht="14.25" customHeight="1" x14ac:dyDescent="0.25">
      <c r="E380" s="2"/>
      <c r="H380" s="53"/>
    </row>
    <row r="381" spans="5:8" ht="14.25" customHeight="1" x14ac:dyDescent="0.25">
      <c r="E381" s="2"/>
      <c r="H381" s="53"/>
    </row>
    <row r="382" spans="5:8" ht="14.25" customHeight="1" x14ac:dyDescent="0.25">
      <c r="E382" s="2"/>
      <c r="H382" s="53"/>
    </row>
    <row r="383" spans="5:8" ht="14.25" customHeight="1" x14ac:dyDescent="0.25">
      <c r="E383" s="2"/>
      <c r="H383" s="53"/>
    </row>
    <row r="384" spans="5:8" ht="14.25" customHeight="1" x14ac:dyDescent="0.25">
      <c r="E384" s="2"/>
      <c r="H384" s="53"/>
    </row>
    <row r="385" spans="5:8" ht="14.25" customHeight="1" x14ac:dyDescent="0.25">
      <c r="E385" s="2"/>
      <c r="H385" s="53"/>
    </row>
    <row r="386" spans="5:8" ht="14.25" customHeight="1" x14ac:dyDescent="0.25">
      <c r="E386" s="2"/>
      <c r="H386" s="53"/>
    </row>
    <row r="387" spans="5:8" ht="14.25" customHeight="1" x14ac:dyDescent="0.25">
      <c r="E387" s="2"/>
      <c r="H387" s="53"/>
    </row>
    <row r="388" spans="5:8" ht="14.25" customHeight="1" x14ac:dyDescent="0.25">
      <c r="E388" s="2"/>
      <c r="H388" s="53"/>
    </row>
    <row r="389" spans="5:8" ht="14.25" customHeight="1" x14ac:dyDescent="0.25">
      <c r="E389" s="2"/>
      <c r="H389" s="53"/>
    </row>
    <row r="390" spans="5:8" ht="14.25" customHeight="1" x14ac:dyDescent="0.25">
      <c r="E390" s="2"/>
      <c r="H390" s="53"/>
    </row>
    <row r="391" spans="5:8" ht="14.25" customHeight="1" x14ac:dyDescent="0.25">
      <c r="E391" s="2"/>
      <c r="H391" s="53"/>
    </row>
    <row r="392" spans="5:8" ht="14.25" customHeight="1" x14ac:dyDescent="0.25">
      <c r="E392" s="2"/>
      <c r="H392" s="53"/>
    </row>
    <row r="393" spans="5:8" ht="14.25" customHeight="1" x14ac:dyDescent="0.25">
      <c r="E393" s="2"/>
      <c r="H393" s="53"/>
    </row>
    <row r="394" spans="5:8" ht="14.25" customHeight="1" x14ac:dyDescent="0.25">
      <c r="E394" s="2"/>
      <c r="H394" s="53"/>
    </row>
    <row r="395" spans="5:8" ht="14.25" customHeight="1" x14ac:dyDescent="0.25">
      <c r="E395" s="2"/>
      <c r="H395" s="53"/>
    </row>
    <row r="396" spans="5:8" ht="14.25" customHeight="1" x14ac:dyDescent="0.25">
      <c r="E396" s="2"/>
      <c r="H396" s="53"/>
    </row>
    <row r="397" spans="5:8" ht="14.25" customHeight="1" x14ac:dyDescent="0.25">
      <c r="E397" s="2"/>
      <c r="H397" s="53"/>
    </row>
    <row r="398" spans="5:8" ht="14.25" customHeight="1" x14ac:dyDescent="0.25">
      <c r="E398" s="2"/>
      <c r="H398" s="53"/>
    </row>
    <row r="399" spans="5:8" ht="14.25" customHeight="1" x14ac:dyDescent="0.25">
      <c r="E399" s="2"/>
      <c r="H399" s="53"/>
    </row>
    <row r="400" spans="5:8" ht="14.25" customHeight="1" x14ac:dyDescent="0.25">
      <c r="E400" s="2"/>
      <c r="H400" s="53"/>
    </row>
    <row r="401" spans="5:8" ht="14.25" customHeight="1" x14ac:dyDescent="0.25">
      <c r="E401" s="2"/>
      <c r="H401" s="53"/>
    </row>
    <row r="402" spans="5:8" ht="14.25" customHeight="1" x14ac:dyDescent="0.25">
      <c r="E402" s="2"/>
      <c r="H402" s="53"/>
    </row>
    <row r="403" spans="5:8" ht="14.25" customHeight="1" x14ac:dyDescent="0.25">
      <c r="E403" s="2"/>
      <c r="H403" s="53"/>
    </row>
    <row r="404" spans="5:8" ht="14.25" customHeight="1" x14ac:dyDescent="0.25">
      <c r="E404" s="2"/>
      <c r="H404" s="53"/>
    </row>
    <row r="405" spans="5:8" ht="14.25" customHeight="1" x14ac:dyDescent="0.25">
      <c r="E405" s="2"/>
      <c r="H405" s="53"/>
    </row>
    <row r="406" spans="5:8" ht="14.25" customHeight="1" x14ac:dyDescent="0.25">
      <c r="E406" s="2"/>
      <c r="H406" s="53"/>
    </row>
    <row r="407" spans="5:8" ht="14.25" customHeight="1" x14ac:dyDescent="0.25">
      <c r="E407" s="2"/>
      <c r="H407" s="53"/>
    </row>
    <row r="408" spans="5:8" ht="14.25" customHeight="1" x14ac:dyDescent="0.25">
      <c r="E408" s="2"/>
      <c r="H408" s="53"/>
    </row>
    <row r="409" spans="5:8" ht="14.25" customHeight="1" x14ac:dyDescent="0.25">
      <c r="E409" s="2"/>
      <c r="H409" s="53"/>
    </row>
    <row r="410" spans="5:8" ht="14.25" customHeight="1" x14ac:dyDescent="0.25">
      <c r="E410" s="2"/>
      <c r="H410" s="53"/>
    </row>
    <row r="411" spans="5:8" ht="14.25" customHeight="1" x14ac:dyDescent="0.25">
      <c r="E411" s="2"/>
      <c r="H411" s="53"/>
    </row>
    <row r="412" spans="5:8" ht="14.25" customHeight="1" x14ac:dyDescent="0.25">
      <c r="E412" s="2"/>
      <c r="H412" s="53"/>
    </row>
    <row r="413" spans="5:8" ht="14.25" customHeight="1" x14ac:dyDescent="0.25">
      <c r="E413" s="2"/>
      <c r="H413" s="53"/>
    </row>
    <row r="414" spans="5:8" ht="14.25" customHeight="1" x14ac:dyDescent="0.25">
      <c r="E414" s="2"/>
      <c r="H414" s="53"/>
    </row>
    <row r="415" spans="5:8" ht="14.25" customHeight="1" x14ac:dyDescent="0.25">
      <c r="E415" s="2"/>
      <c r="H415" s="53"/>
    </row>
    <row r="416" spans="5:8" ht="14.25" customHeight="1" x14ac:dyDescent="0.25">
      <c r="E416" s="2"/>
      <c r="H416" s="53"/>
    </row>
    <row r="417" spans="5:8" ht="14.25" customHeight="1" x14ac:dyDescent="0.25">
      <c r="E417" s="2"/>
      <c r="H417" s="53"/>
    </row>
    <row r="418" spans="5:8" ht="14.25" customHeight="1" x14ac:dyDescent="0.25">
      <c r="E418" s="2"/>
      <c r="H418" s="53"/>
    </row>
    <row r="419" spans="5:8" ht="14.25" customHeight="1" x14ac:dyDescent="0.25">
      <c r="E419" s="2"/>
      <c r="H419" s="53"/>
    </row>
    <row r="420" spans="5:8" ht="14.25" customHeight="1" x14ac:dyDescent="0.25">
      <c r="E420" s="2"/>
      <c r="H420" s="53"/>
    </row>
    <row r="421" spans="5:8" ht="14.25" customHeight="1" x14ac:dyDescent="0.25">
      <c r="E421" s="2"/>
      <c r="H421" s="53"/>
    </row>
    <row r="422" spans="5:8" ht="14.25" customHeight="1" x14ac:dyDescent="0.25">
      <c r="E422" s="2"/>
      <c r="H422" s="53"/>
    </row>
    <row r="423" spans="5:8" ht="14.25" customHeight="1" x14ac:dyDescent="0.25">
      <c r="E423" s="2"/>
      <c r="H423" s="53"/>
    </row>
    <row r="424" spans="5:8" ht="14.25" customHeight="1" x14ac:dyDescent="0.25">
      <c r="E424" s="2"/>
      <c r="H424" s="53"/>
    </row>
    <row r="425" spans="5:8" ht="14.25" customHeight="1" x14ac:dyDescent="0.25">
      <c r="E425" s="2"/>
      <c r="H425" s="53"/>
    </row>
    <row r="426" spans="5:8" ht="14.25" customHeight="1" x14ac:dyDescent="0.25">
      <c r="E426" s="2"/>
      <c r="H426" s="53"/>
    </row>
    <row r="427" spans="5:8" ht="14.25" customHeight="1" x14ac:dyDescent="0.25">
      <c r="E427" s="2"/>
      <c r="H427" s="53"/>
    </row>
    <row r="428" spans="5:8" ht="14.25" customHeight="1" x14ac:dyDescent="0.25">
      <c r="E428" s="2"/>
      <c r="H428" s="53"/>
    </row>
    <row r="429" spans="5:8" ht="14.25" customHeight="1" x14ac:dyDescent="0.25">
      <c r="E429" s="2"/>
      <c r="H429" s="53"/>
    </row>
    <row r="430" spans="5:8" ht="14.25" customHeight="1" x14ac:dyDescent="0.25">
      <c r="E430" s="2"/>
      <c r="H430" s="53"/>
    </row>
    <row r="431" spans="5:8" ht="14.25" customHeight="1" x14ac:dyDescent="0.25">
      <c r="E431" s="2"/>
      <c r="H431" s="53"/>
    </row>
    <row r="432" spans="5:8" ht="14.25" customHeight="1" x14ac:dyDescent="0.25">
      <c r="E432" s="2"/>
      <c r="H432" s="53"/>
    </row>
    <row r="433" spans="5:8" ht="14.25" customHeight="1" x14ac:dyDescent="0.25">
      <c r="E433" s="2"/>
      <c r="H433" s="53"/>
    </row>
    <row r="434" spans="5:8" ht="14.25" customHeight="1" x14ac:dyDescent="0.25">
      <c r="E434" s="2"/>
      <c r="H434" s="53"/>
    </row>
    <row r="435" spans="5:8" ht="14.25" customHeight="1" x14ac:dyDescent="0.25">
      <c r="E435" s="2"/>
      <c r="H435" s="53"/>
    </row>
    <row r="436" spans="5:8" ht="14.25" customHeight="1" x14ac:dyDescent="0.25">
      <c r="E436" s="2"/>
      <c r="H436" s="53"/>
    </row>
    <row r="437" spans="5:8" ht="14.25" customHeight="1" x14ac:dyDescent="0.25">
      <c r="E437" s="2"/>
      <c r="H437" s="53"/>
    </row>
    <row r="438" spans="5:8" ht="14.25" customHeight="1" x14ac:dyDescent="0.25">
      <c r="E438" s="2"/>
      <c r="H438" s="53"/>
    </row>
    <row r="439" spans="5:8" ht="14.25" customHeight="1" x14ac:dyDescent="0.25">
      <c r="E439" s="2"/>
      <c r="H439" s="53"/>
    </row>
    <row r="440" spans="5:8" ht="14.25" customHeight="1" x14ac:dyDescent="0.25">
      <c r="E440" s="2"/>
      <c r="H440" s="53"/>
    </row>
    <row r="441" spans="5:8" ht="14.25" customHeight="1" x14ac:dyDescent="0.25">
      <c r="E441" s="2"/>
      <c r="H441" s="53"/>
    </row>
    <row r="442" spans="5:8" ht="14.25" customHeight="1" x14ac:dyDescent="0.25">
      <c r="E442" s="2"/>
      <c r="H442" s="53"/>
    </row>
    <row r="443" spans="5:8" ht="14.25" customHeight="1" x14ac:dyDescent="0.25">
      <c r="E443" s="2"/>
      <c r="H443" s="53"/>
    </row>
    <row r="444" spans="5:8" ht="14.25" customHeight="1" x14ac:dyDescent="0.25">
      <c r="E444" s="2"/>
      <c r="H444" s="53"/>
    </row>
    <row r="445" spans="5:8" ht="14.25" customHeight="1" x14ac:dyDescent="0.25">
      <c r="E445" s="2"/>
      <c r="H445" s="53"/>
    </row>
    <row r="446" spans="5:8" ht="14.25" customHeight="1" x14ac:dyDescent="0.25">
      <c r="E446" s="2"/>
      <c r="H446" s="53"/>
    </row>
    <row r="447" spans="5:8" ht="14.25" customHeight="1" x14ac:dyDescent="0.25">
      <c r="E447" s="2"/>
      <c r="H447" s="53"/>
    </row>
    <row r="448" spans="5:8" ht="14.25" customHeight="1" x14ac:dyDescent="0.25">
      <c r="E448" s="2"/>
      <c r="H448" s="53"/>
    </row>
    <row r="449" spans="5:8" ht="14.25" customHeight="1" x14ac:dyDescent="0.25">
      <c r="E449" s="2"/>
      <c r="H449" s="53"/>
    </row>
    <row r="450" spans="5:8" ht="14.25" customHeight="1" x14ac:dyDescent="0.25">
      <c r="E450" s="2"/>
      <c r="H450" s="53"/>
    </row>
    <row r="451" spans="5:8" ht="14.25" customHeight="1" x14ac:dyDescent="0.25">
      <c r="E451" s="2"/>
      <c r="H451" s="53"/>
    </row>
    <row r="452" spans="5:8" ht="14.25" customHeight="1" x14ac:dyDescent="0.25">
      <c r="E452" s="2"/>
      <c r="H452" s="53"/>
    </row>
    <row r="453" spans="5:8" ht="14.25" customHeight="1" x14ac:dyDescent="0.25">
      <c r="E453" s="2"/>
      <c r="H453" s="53"/>
    </row>
    <row r="454" spans="5:8" ht="14.25" customHeight="1" x14ac:dyDescent="0.25">
      <c r="E454" s="2"/>
      <c r="H454" s="53"/>
    </row>
    <row r="455" spans="5:8" ht="14.25" customHeight="1" x14ac:dyDescent="0.25">
      <c r="E455" s="2"/>
      <c r="H455" s="53"/>
    </row>
    <row r="456" spans="5:8" ht="14.25" customHeight="1" x14ac:dyDescent="0.25">
      <c r="E456" s="2"/>
      <c r="H456" s="53"/>
    </row>
    <row r="457" spans="5:8" ht="14.25" customHeight="1" x14ac:dyDescent="0.25">
      <c r="E457" s="2"/>
      <c r="H457" s="53"/>
    </row>
    <row r="458" spans="5:8" ht="14.25" customHeight="1" x14ac:dyDescent="0.25">
      <c r="E458" s="2"/>
      <c r="H458" s="53"/>
    </row>
    <row r="459" spans="5:8" ht="14.25" customHeight="1" x14ac:dyDescent="0.25">
      <c r="E459" s="2"/>
      <c r="H459" s="53"/>
    </row>
    <row r="460" spans="5:8" ht="14.25" customHeight="1" x14ac:dyDescent="0.25">
      <c r="E460" s="2"/>
      <c r="H460" s="53"/>
    </row>
    <row r="461" spans="5:8" ht="14.25" customHeight="1" x14ac:dyDescent="0.25">
      <c r="E461" s="2"/>
      <c r="H461" s="53"/>
    </row>
    <row r="462" spans="5:8" ht="14.25" customHeight="1" x14ac:dyDescent="0.25">
      <c r="E462" s="2"/>
      <c r="H462" s="53"/>
    </row>
    <row r="463" spans="5:8" ht="14.25" customHeight="1" x14ac:dyDescent="0.25">
      <c r="E463" s="2"/>
      <c r="H463" s="53"/>
    </row>
    <row r="464" spans="5:8" ht="14.25" customHeight="1" x14ac:dyDescent="0.25">
      <c r="E464" s="2"/>
      <c r="H464" s="53"/>
    </row>
    <row r="465" spans="5:8" ht="14.25" customHeight="1" x14ac:dyDescent="0.25">
      <c r="E465" s="2"/>
      <c r="H465" s="53"/>
    </row>
    <row r="466" spans="5:8" ht="14.25" customHeight="1" x14ac:dyDescent="0.25">
      <c r="E466" s="2"/>
      <c r="H466" s="53"/>
    </row>
    <row r="467" spans="5:8" ht="14.25" customHeight="1" x14ac:dyDescent="0.25">
      <c r="E467" s="2"/>
      <c r="H467" s="53"/>
    </row>
    <row r="468" spans="5:8" ht="14.25" customHeight="1" x14ac:dyDescent="0.25">
      <c r="E468" s="2"/>
      <c r="H468" s="53"/>
    </row>
    <row r="469" spans="5:8" ht="14.25" customHeight="1" x14ac:dyDescent="0.25">
      <c r="E469" s="2"/>
      <c r="H469" s="53"/>
    </row>
    <row r="470" spans="5:8" ht="14.25" customHeight="1" x14ac:dyDescent="0.25">
      <c r="E470" s="2"/>
      <c r="H470" s="53"/>
    </row>
    <row r="471" spans="5:8" ht="14.25" customHeight="1" x14ac:dyDescent="0.25">
      <c r="E471" s="2"/>
      <c r="H471" s="53"/>
    </row>
    <row r="472" spans="5:8" ht="14.25" customHeight="1" x14ac:dyDescent="0.25">
      <c r="E472" s="2"/>
      <c r="H472" s="53"/>
    </row>
    <row r="473" spans="5:8" ht="14.25" customHeight="1" x14ac:dyDescent="0.25">
      <c r="E473" s="2"/>
      <c r="H473" s="53"/>
    </row>
    <row r="474" spans="5:8" ht="14.25" customHeight="1" x14ac:dyDescent="0.25">
      <c r="E474" s="2"/>
      <c r="H474" s="53"/>
    </row>
    <row r="475" spans="5:8" ht="14.25" customHeight="1" x14ac:dyDescent="0.25">
      <c r="E475" s="2"/>
      <c r="H475" s="53"/>
    </row>
    <row r="476" spans="5:8" ht="14.25" customHeight="1" x14ac:dyDescent="0.25">
      <c r="E476" s="2"/>
      <c r="H476" s="53"/>
    </row>
    <row r="477" spans="5:8" ht="14.25" customHeight="1" x14ac:dyDescent="0.25">
      <c r="E477" s="2"/>
      <c r="H477" s="53"/>
    </row>
    <row r="478" spans="5:8" ht="14.25" customHeight="1" x14ac:dyDescent="0.25">
      <c r="E478" s="2"/>
      <c r="H478" s="53"/>
    </row>
    <row r="479" spans="5:8" ht="14.25" customHeight="1" x14ac:dyDescent="0.25">
      <c r="E479" s="2"/>
      <c r="H479" s="53"/>
    </row>
    <row r="480" spans="5:8" ht="14.25" customHeight="1" x14ac:dyDescent="0.25">
      <c r="E480" s="2"/>
      <c r="H480" s="53"/>
    </row>
    <row r="481" spans="5:8" ht="14.25" customHeight="1" x14ac:dyDescent="0.25">
      <c r="E481" s="2"/>
      <c r="H481" s="53"/>
    </row>
    <row r="482" spans="5:8" ht="14.25" customHeight="1" x14ac:dyDescent="0.25">
      <c r="E482" s="2"/>
      <c r="H482" s="53"/>
    </row>
    <row r="483" spans="5:8" ht="14.25" customHeight="1" x14ac:dyDescent="0.25">
      <c r="E483" s="2"/>
      <c r="H483" s="53"/>
    </row>
    <row r="484" spans="5:8" ht="14.25" customHeight="1" x14ac:dyDescent="0.25">
      <c r="E484" s="2"/>
      <c r="H484" s="53"/>
    </row>
    <row r="485" spans="5:8" ht="14.25" customHeight="1" x14ac:dyDescent="0.25">
      <c r="E485" s="2"/>
      <c r="H485" s="53"/>
    </row>
    <row r="486" spans="5:8" ht="14.25" customHeight="1" x14ac:dyDescent="0.25">
      <c r="E486" s="2"/>
      <c r="H486" s="53"/>
    </row>
    <row r="487" spans="5:8" ht="14.25" customHeight="1" x14ac:dyDescent="0.25">
      <c r="E487" s="2"/>
      <c r="H487" s="53"/>
    </row>
    <row r="488" spans="5:8" ht="14.25" customHeight="1" x14ac:dyDescent="0.25">
      <c r="E488" s="2"/>
      <c r="H488" s="53"/>
    </row>
    <row r="489" spans="5:8" ht="14.25" customHeight="1" x14ac:dyDescent="0.25">
      <c r="E489" s="2"/>
      <c r="H489" s="53"/>
    </row>
    <row r="490" spans="5:8" ht="14.25" customHeight="1" x14ac:dyDescent="0.25">
      <c r="E490" s="2"/>
      <c r="H490" s="53"/>
    </row>
    <row r="491" spans="5:8" ht="14.25" customHeight="1" x14ac:dyDescent="0.25">
      <c r="E491" s="2"/>
      <c r="H491" s="53"/>
    </row>
    <row r="492" spans="5:8" ht="14.25" customHeight="1" x14ac:dyDescent="0.25">
      <c r="E492" s="2"/>
      <c r="H492" s="53"/>
    </row>
    <row r="493" spans="5:8" ht="14.25" customHeight="1" x14ac:dyDescent="0.25">
      <c r="E493" s="2"/>
      <c r="H493" s="53"/>
    </row>
    <row r="494" spans="5:8" ht="14.25" customHeight="1" x14ac:dyDescent="0.25">
      <c r="E494" s="2"/>
      <c r="H494" s="53"/>
    </row>
    <row r="495" spans="5:8" ht="14.25" customHeight="1" x14ac:dyDescent="0.25">
      <c r="E495" s="2"/>
      <c r="H495" s="53"/>
    </row>
    <row r="496" spans="5:8" ht="14.25" customHeight="1" x14ac:dyDescent="0.25">
      <c r="E496" s="2"/>
      <c r="H496" s="53"/>
    </row>
    <row r="497" spans="5:8" ht="14.25" customHeight="1" x14ac:dyDescent="0.25">
      <c r="E497" s="2"/>
      <c r="H497" s="53"/>
    </row>
    <row r="498" spans="5:8" ht="14.25" customHeight="1" x14ac:dyDescent="0.25">
      <c r="E498" s="2"/>
      <c r="H498" s="53"/>
    </row>
    <row r="499" spans="5:8" ht="14.25" customHeight="1" x14ac:dyDescent="0.25">
      <c r="E499" s="2"/>
      <c r="H499" s="53"/>
    </row>
    <row r="500" spans="5:8" ht="14.25" customHeight="1" x14ac:dyDescent="0.25">
      <c r="E500" s="2"/>
      <c r="H500" s="53"/>
    </row>
    <row r="501" spans="5:8" ht="14.25" customHeight="1" x14ac:dyDescent="0.25">
      <c r="E501" s="2"/>
      <c r="H501" s="53"/>
    </row>
    <row r="502" spans="5:8" ht="14.25" customHeight="1" x14ac:dyDescent="0.25">
      <c r="E502" s="2"/>
      <c r="H502" s="53"/>
    </row>
    <row r="503" spans="5:8" ht="14.25" customHeight="1" x14ac:dyDescent="0.25">
      <c r="E503" s="2"/>
      <c r="H503" s="53"/>
    </row>
    <row r="504" spans="5:8" ht="14.25" customHeight="1" x14ac:dyDescent="0.25">
      <c r="E504" s="2"/>
      <c r="H504" s="53"/>
    </row>
    <row r="505" spans="5:8" ht="14.25" customHeight="1" x14ac:dyDescent="0.25">
      <c r="E505" s="2"/>
      <c r="H505" s="53"/>
    </row>
    <row r="506" spans="5:8" ht="14.25" customHeight="1" x14ac:dyDescent="0.25">
      <c r="E506" s="2"/>
      <c r="H506" s="53"/>
    </row>
    <row r="507" spans="5:8" ht="14.25" customHeight="1" x14ac:dyDescent="0.25">
      <c r="E507" s="2"/>
      <c r="H507" s="53"/>
    </row>
    <row r="508" spans="5:8" ht="14.25" customHeight="1" x14ac:dyDescent="0.25">
      <c r="E508" s="2"/>
      <c r="H508" s="53"/>
    </row>
    <row r="509" spans="5:8" ht="14.25" customHeight="1" x14ac:dyDescent="0.25">
      <c r="E509" s="2"/>
      <c r="H509" s="53"/>
    </row>
    <row r="510" spans="5:8" ht="14.25" customHeight="1" x14ac:dyDescent="0.25">
      <c r="E510" s="2"/>
      <c r="H510" s="53"/>
    </row>
    <row r="511" spans="5:8" ht="14.25" customHeight="1" x14ac:dyDescent="0.25">
      <c r="E511" s="2"/>
      <c r="H511" s="53"/>
    </row>
    <row r="512" spans="5:8" ht="14.25" customHeight="1" x14ac:dyDescent="0.25">
      <c r="E512" s="2"/>
      <c r="H512" s="53"/>
    </row>
    <row r="513" spans="5:8" ht="14.25" customHeight="1" x14ac:dyDescent="0.25">
      <c r="E513" s="2"/>
      <c r="H513" s="53"/>
    </row>
    <row r="514" spans="5:8" ht="14.25" customHeight="1" x14ac:dyDescent="0.25">
      <c r="E514" s="2"/>
      <c r="H514" s="53"/>
    </row>
    <row r="515" spans="5:8" ht="14.25" customHeight="1" x14ac:dyDescent="0.25">
      <c r="E515" s="2"/>
      <c r="H515" s="53"/>
    </row>
    <row r="516" spans="5:8" ht="14.25" customHeight="1" x14ac:dyDescent="0.25">
      <c r="E516" s="2"/>
      <c r="H516" s="53"/>
    </row>
    <row r="517" spans="5:8" ht="14.25" customHeight="1" x14ac:dyDescent="0.25">
      <c r="E517" s="2"/>
      <c r="H517" s="53"/>
    </row>
    <row r="518" spans="5:8" ht="14.25" customHeight="1" x14ac:dyDescent="0.25">
      <c r="E518" s="2"/>
      <c r="H518" s="53"/>
    </row>
    <row r="519" spans="5:8" ht="14.25" customHeight="1" x14ac:dyDescent="0.25">
      <c r="E519" s="2"/>
      <c r="H519" s="53"/>
    </row>
    <row r="520" spans="5:8" ht="14.25" customHeight="1" x14ac:dyDescent="0.25">
      <c r="E520" s="2"/>
      <c r="H520" s="53"/>
    </row>
    <row r="521" spans="5:8" ht="14.25" customHeight="1" x14ac:dyDescent="0.25">
      <c r="E521" s="2"/>
      <c r="H521" s="53"/>
    </row>
    <row r="522" spans="5:8" ht="14.25" customHeight="1" x14ac:dyDescent="0.25">
      <c r="E522" s="2"/>
      <c r="H522" s="53"/>
    </row>
    <row r="523" spans="5:8" ht="14.25" customHeight="1" x14ac:dyDescent="0.25">
      <c r="E523" s="2"/>
      <c r="H523" s="53"/>
    </row>
    <row r="524" spans="5:8" ht="14.25" customHeight="1" x14ac:dyDescent="0.25">
      <c r="E524" s="2"/>
      <c r="H524" s="53"/>
    </row>
    <row r="525" spans="5:8" ht="14.25" customHeight="1" x14ac:dyDescent="0.25">
      <c r="E525" s="2"/>
      <c r="H525" s="53"/>
    </row>
    <row r="526" spans="5:8" ht="14.25" customHeight="1" x14ac:dyDescent="0.25">
      <c r="E526" s="2"/>
      <c r="H526" s="53"/>
    </row>
    <row r="527" spans="5:8" ht="14.25" customHeight="1" x14ac:dyDescent="0.25">
      <c r="E527" s="2"/>
      <c r="H527" s="53"/>
    </row>
    <row r="528" spans="5:8" ht="14.25" customHeight="1" x14ac:dyDescent="0.25">
      <c r="E528" s="2"/>
      <c r="H528" s="53"/>
    </row>
    <row r="529" spans="5:8" ht="14.25" customHeight="1" x14ac:dyDescent="0.25">
      <c r="E529" s="2"/>
      <c r="H529" s="53"/>
    </row>
    <row r="530" spans="5:8" ht="14.25" customHeight="1" x14ac:dyDescent="0.25">
      <c r="E530" s="2"/>
      <c r="H530" s="53"/>
    </row>
    <row r="531" spans="5:8" ht="14.25" customHeight="1" x14ac:dyDescent="0.25">
      <c r="E531" s="2"/>
      <c r="H531" s="53"/>
    </row>
    <row r="532" spans="5:8" ht="14.25" customHeight="1" x14ac:dyDescent="0.25">
      <c r="E532" s="2"/>
      <c r="H532" s="53"/>
    </row>
    <row r="533" spans="5:8" ht="14.25" customHeight="1" x14ac:dyDescent="0.25">
      <c r="E533" s="2"/>
      <c r="H533" s="53"/>
    </row>
    <row r="534" spans="5:8" ht="14.25" customHeight="1" x14ac:dyDescent="0.25">
      <c r="E534" s="2"/>
      <c r="H534" s="53"/>
    </row>
    <row r="535" spans="5:8" ht="14.25" customHeight="1" x14ac:dyDescent="0.25">
      <c r="E535" s="2"/>
      <c r="H535" s="53"/>
    </row>
    <row r="536" spans="5:8" ht="14.25" customHeight="1" x14ac:dyDescent="0.25">
      <c r="E536" s="2"/>
      <c r="H536" s="53"/>
    </row>
    <row r="537" spans="5:8" ht="14.25" customHeight="1" x14ac:dyDescent="0.25">
      <c r="E537" s="2"/>
      <c r="H537" s="53"/>
    </row>
    <row r="538" spans="5:8" ht="14.25" customHeight="1" x14ac:dyDescent="0.25">
      <c r="E538" s="2"/>
      <c r="H538" s="53"/>
    </row>
    <row r="539" spans="5:8" ht="14.25" customHeight="1" x14ac:dyDescent="0.25">
      <c r="E539" s="2"/>
      <c r="H539" s="53"/>
    </row>
    <row r="540" spans="5:8" ht="14.25" customHeight="1" x14ac:dyDescent="0.25">
      <c r="E540" s="2"/>
      <c r="H540" s="53"/>
    </row>
    <row r="541" spans="5:8" ht="14.25" customHeight="1" x14ac:dyDescent="0.25">
      <c r="E541" s="2"/>
      <c r="H541" s="53"/>
    </row>
    <row r="542" spans="5:8" ht="14.25" customHeight="1" x14ac:dyDescent="0.25">
      <c r="E542" s="2"/>
      <c r="H542" s="53"/>
    </row>
    <row r="543" spans="5:8" ht="14.25" customHeight="1" x14ac:dyDescent="0.25">
      <c r="E543" s="2"/>
      <c r="H543" s="53"/>
    </row>
    <row r="544" spans="5:8" ht="14.25" customHeight="1" x14ac:dyDescent="0.25">
      <c r="E544" s="2"/>
      <c r="H544" s="53"/>
    </row>
    <row r="545" spans="5:8" ht="14.25" customHeight="1" x14ac:dyDescent="0.25">
      <c r="E545" s="2"/>
      <c r="H545" s="53"/>
    </row>
    <row r="546" spans="5:8" ht="14.25" customHeight="1" x14ac:dyDescent="0.25">
      <c r="E546" s="2"/>
      <c r="H546" s="53"/>
    </row>
    <row r="547" spans="5:8" ht="14.25" customHeight="1" x14ac:dyDescent="0.25">
      <c r="E547" s="2"/>
      <c r="H547" s="53"/>
    </row>
    <row r="548" spans="5:8" ht="14.25" customHeight="1" x14ac:dyDescent="0.25">
      <c r="E548" s="2"/>
      <c r="H548" s="53"/>
    </row>
    <row r="549" spans="5:8" ht="14.25" customHeight="1" x14ac:dyDescent="0.25">
      <c r="E549" s="2"/>
      <c r="H549" s="53"/>
    </row>
    <row r="550" spans="5:8" ht="14.25" customHeight="1" x14ac:dyDescent="0.25">
      <c r="E550" s="2"/>
      <c r="H550" s="53"/>
    </row>
    <row r="551" spans="5:8" ht="14.25" customHeight="1" x14ac:dyDescent="0.25">
      <c r="E551" s="2"/>
      <c r="H551" s="53"/>
    </row>
    <row r="552" spans="5:8" ht="14.25" customHeight="1" x14ac:dyDescent="0.25">
      <c r="E552" s="2"/>
      <c r="H552" s="53"/>
    </row>
    <row r="553" spans="5:8" ht="14.25" customHeight="1" x14ac:dyDescent="0.25">
      <c r="E553" s="2"/>
      <c r="H553" s="53"/>
    </row>
    <row r="554" spans="5:8" ht="14.25" customHeight="1" x14ac:dyDescent="0.25">
      <c r="E554" s="2"/>
      <c r="H554" s="53"/>
    </row>
    <row r="555" spans="5:8" ht="14.25" customHeight="1" x14ac:dyDescent="0.25">
      <c r="E555" s="2"/>
      <c r="H555" s="53"/>
    </row>
    <row r="556" spans="5:8" ht="14.25" customHeight="1" x14ac:dyDescent="0.25">
      <c r="E556" s="2"/>
      <c r="H556" s="53"/>
    </row>
    <row r="557" spans="5:8" ht="14.25" customHeight="1" x14ac:dyDescent="0.25">
      <c r="E557" s="2"/>
      <c r="H557" s="53"/>
    </row>
    <row r="558" spans="5:8" ht="14.25" customHeight="1" x14ac:dyDescent="0.25">
      <c r="E558" s="2"/>
      <c r="H558" s="53"/>
    </row>
    <row r="559" spans="5:8" ht="14.25" customHeight="1" x14ac:dyDescent="0.25">
      <c r="E559" s="2"/>
      <c r="H559" s="53"/>
    </row>
    <row r="560" spans="5:8" ht="14.25" customHeight="1" x14ac:dyDescent="0.25">
      <c r="E560" s="2"/>
      <c r="H560" s="53"/>
    </row>
    <row r="561" spans="5:8" ht="14.25" customHeight="1" x14ac:dyDescent="0.25">
      <c r="E561" s="2"/>
      <c r="H561" s="53"/>
    </row>
    <row r="562" spans="5:8" ht="14.25" customHeight="1" x14ac:dyDescent="0.25">
      <c r="E562" s="2"/>
      <c r="H562" s="53"/>
    </row>
    <row r="563" spans="5:8" ht="14.25" customHeight="1" x14ac:dyDescent="0.25">
      <c r="E563" s="2"/>
      <c r="H563" s="53"/>
    </row>
    <row r="564" spans="5:8" ht="14.25" customHeight="1" x14ac:dyDescent="0.25">
      <c r="E564" s="2"/>
      <c r="H564" s="53"/>
    </row>
    <row r="565" spans="5:8" ht="14.25" customHeight="1" x14ac:dyDescent="0.25">
      <c r="E565" s="2"/>
      <c r="H565" s="53"/>
    </row>
    <row r="566" spans="5:8" ht="14.25" customHeight="1" x14ac:dyDescent="0.25">
      <c r="E566" s="2"/>
      <c r="H566" s="53"/>
    </row>
    <row r="567" spans="5:8" ht="14.25" customHeight="1" x14ac:dyDescent="0.25">
      <c r="E567" s="2"/>
      <c r="H567" s="53"/>
    </row>
    <row r="568" spans="5:8" ht="14.25" customHeight="1" x14ac:dyDescent="0.25">
      <c r="E568" s="2"/>
      <c r="H568" s="53"/>
    </row>
    <row r="569" spans="5:8" ht="14.25" customHeight="1" x14ac:dyDescent="0.25">
      <c r="E569" s="2"/>
      <c r="H569" s="53"/>
    </row>
    <row r="570" spans="5:8" ht="14.25" customHeight="1" x14ac:dyDescent="0.25">
      <c r="E570" s="2"/>
      <c r="H570" s="53"/>
    </row>
    <row r="571" spans="5:8" ht="14.25" customHeight="1" x14ac:dyDescent="0.25">
      <c r="E571" s="2"/>
      <c r="H571" s="53"/>
    </row>
    <row r="572" spans="5:8" ht="14.25" customHeight="1" x14ac:dyDescent="0.25">
      <c r="E572" s="2"/>
      <c r="H572" s="53"/>
    </row>
    <row r="573" spans="5:8" ht="14.25" customHeight="1" x14ac:dyDescent="0.25">
      <c r="E573" s="2"/>
      <c r="H573" s="53"/>
    </row>
    <row r="574" spans="5:8" ht="14.25" customHeight="1" x14ac:dyDescent="0.25">
      <c r="E574" s="2"/>
      <c r="H574" s="53"/>
    </row>
    <row r="575" spans="5:8" ht="14.25" customHeight="1" x14ac:dyDescent="0.25">
      <c r="E575" s="2"/>
      <c r="H575" s="53"/>
    </row>
    <row r="576" spans="5:8" ht="14.25" customHeight="1" x14ac:dyDescent="0.25">
      <c r="E576" s="2"/>
      <c r="H576" s="53"/>
    </row>
    <row r="577" spans="5:8" ht="14.25" customHeight="1" x14ac:dyDescent="0.25">
      <c r="E577" s="2"/>
      <c r="H577" s="53"/>
    </row>
    <row r="578" spans="5:8" ht="14.25" customHeight="1" x14ac:dyDescent="0.25">
      <c r="E578" s="2"/>
      <c r="H578" s="53"/>
    </row>
    <row r="579" spans="5:8" ht="14.25" customHeight="1" x14ac:dyDescent="0.25">
      <c r="E579" s="2"/>
      <c r="H579" s="53"/>
    </row>
    <row r="580" spans="5:8" ht="14.25" customHeight="1" x14ac:dyDescent="0.25">
      <c r="E580" s="2"/>
      <c r="H580" s="53"/>
    </row>
    <row r="581" spans="5:8" ht="14.25" customHeight="1" x14ac:dyDescent="0.25">
      <c r="E581" s="2"/>
      <c r="H581" s="53"/>
    </row>
    <row r="582" spans="5:8" ht="14.25" customHeight="1" x14ac:dyDescent="0.25">
      <c r="E582" s="2"/>
      <c r="H582" s="53"/>
    </row>
    <row r="583" spans="5:8" ht="14.25" customHeight="1" x14ac:dyDescent="0.25">
      <c r="E583" s="2"/>
      <c r="H583" s="53"/>
    </row>
    <row r="584" spans="5:8" ht="14.25" customHeight="1" x14ac:dyDescent="0.25">
      <c r="E584" s="2"/>
      <c r="H584" s="53"/>
    </row>
    <row r="585" spans="5:8" ht="14.25" customHeight="1" x14ac:dyDescent="0.25">
      <c r="E585" s="2"/>
      <c r="H585" s="53"/>
    </row>
    <row r="586" spans="5:8" ht="14.25" customHeight="1" x14ac:dyDescent="0.25">
      <c r="E586" s="2"/>
      <c r="H586" s="53"/>
    </row>
    <row r="587" spans="5:8" ht="14.25" customHeight="1" x14ac:dyDescent="0.25">
      <c r="E587" s="2"/>
      <c r="H587" s="53"/>
    </row>
    <row r="588" spans="5:8" ht="14.25" customHeight="1" x14ac:dyDescent="0.25">
      <c r="E588" s="2"/>
      <c r="H588" s="53"/>
    </row>
    <row r="589" spans="5:8" ht="14.25" customHeight="1" x14ac:dyDescent="0.25">
      <c r="E589" s="2"/>
      <c r="H589" s="53"/>
    </row>
    <row r="590" spans="5:8" ht="14.25" customHeight="1" x14ac:dyDescent="0.25">
      <c r="E590" s="2"/>
      <c r="H590" s="53"/>
    </row>
    <row r="591" spans="5:8" ht="14.25" customHeight="1" x14ac:dyDescent="0.25">
      <c r="E591" s="2"/>
      <c r="H591" s="53"/>
    </row>
    <row r="592" spans="5:8" ht="14.25" customHeight="1" x14ac:dyDescent="0.25">
      <c r="E592" s="2"/>
      <c r="H592" s="53"/>
    </row>
    <row r="593" spans="5:8" ht="14.25" customHeight="1" x14ac:dyDescent="0.25">
      <c r="E593" s="2"/>
      <c r="H593" s="53"/>
    </row>
    <row r="594" spans="5:8" ht="14.25" customHeight="1" x14ac:dyDescent="0.25">
      <c r="E594" s="2"/>
      <c r="H594" s="53"/>
    </row>
    <row r="595" spans="5:8" ht="14.25" customHeight="1" x14ac:dyDescent="0.25">
      <c r="E595" s="2"/>
      <c r="H595" s="53"/>
    </row>
    <row r="596" spans="5:8" ht="14.25" customHeight="1" x14ac:dyDescent="0.25">
      <c r="E596" s="2"/>
      <c r="H596" s="53"/>
    </row>
    <row r="597" spans="5:8" ht="14.25" customHeight="1" x14ac:dyDescent="0.25">
      <c r="E597" s="2"/>
      <c r="H597" s="53"/>
    </row>
    <row r="598" spans="5:8" ht="14.25" customHeight="1" x14ac:dyDescent="0.25">
      <c r="E598" s="2"/>
      <c r="H598" s="53"/>
    </row>
    <row r="599" spans="5:8" ht="14.25" customHeight="1" x14ac:dyDescent="0.25">
      <c r="E599" s="2"/>
      <c r="H599" s="53"/>
    </row>
    <row r="600" spans="5:8" ht="14.25" customHeight="1" x14ac:dyDescent="0.25">
      <c r="E600" s="2"/>
      <c r="H600" s="53"/>
    </row>
    <row r="601" spans="5:8" ht="14.25" customHeight="1" x14ac:dyDescent="0.25">
      <c r="E601" s="2"/>
      <c r="H601" s="53"/>
    </row>
    <row r="602" spans="5:8" ht="14.25" customHeight="1" x14ac:dyDescent="0.25">
      <c r="E602" s="2"/>
      <c r="H602" s="53"/>
    </row>
    <row r="603" spans="5:8" ht="14.25" customHeight="1" x14ac:dyDescent="0.25">
      <c r="E603" s="2"/>
      <c r="H603" s="53"/>
    </row>
    <row r="604" spans="5:8" ht="14.25" customHeight="1" x14ac:dyDescent="0.25">
      <c r="E604" s="2"/>
      <c r="H604" s="53"/>
    </row>
    <row r="605" spans="5:8" ht="14.25" customHeight="1" x14ac:dyDescent="0.25">
      <c r="E605" s="2"/>
      <c r="H605" s="53"/>
    </row>
    <row r="606" spans="5:8" ht="14.25" customHeight="1" x14ac:dyDescent="0.25">
      <c r="E606" s="2"/>
      <c r="H606" s="53"/>
    </row>
    <row r="607" spans="5:8" ht="14.25" customHeight="1" x14ac:dyDescent="0.25">
      <c r="E607" s="2"/>
      <c r="H607" s="53"/>
    </row>
    <row r="608" spans="5:8" ht="14.25" customHeight="1" x14ac:dyDescent="0.25">
      <c r="E608" s="2"/>
      <c r="H608" s="53"/>
    </row>
    <row r="609" spans="5:8" ht="14.25" customHeight="1" x14ac:dyDescent="0.25">
      <c r="E609" s="2"/>
      <c r="H609" s="53"/>
    </row>
    <row r="610" spans="5:8" ht="14.25" customHeight="1" x14ac:dyDescent="0.25">
      <c r="E610" s="2"/>
      <c r="H610" s="53"/>
    </row>
    <row r="611" spans="5:8" ht="14.25" customHeight="1" x14ac:dyDescent="0.25">
      <c r="E611" s="2"/>
      <c r="H611" s="53"/>
    </row>
    <row r="612" spans="5:8" ht="14.25" customHeight="1" x14ac:dyDescent="0.25">
      <c r="E612" s="2"/>
      <c r="H612" s="53"/>
    </row>
    <row r="613" spans="5:8" ht="14.25" customHeight="1" x14ac:dyDescent="0.25">
      <c r="E613" s="2"/>
      <c r="H613" s="53"/>
    </row>
    <row r="614" spans="5:8" ht="14.25" customHeight="1" x14ac:dyDescent="0.25">
      <c r="E614" s="2"/>
      <c r="H614" s="53"/>
    </row>
    <row r="615" spans="5:8" ht="14.25" customHeight="1" x14ac:dyDescent="0.25">
      <c r="E615" s="2"/>
      <c r="H615" s="53"/>
    </row>
    <row r="616" spans="5:8" ht="14.25" customHeight="1" x14ac:dyDescent="0.25">
      <c r="E616" s="2"/>
      <c r="H616" s="53"/>
    </row>
    <row r="617" spans="5:8" ht="14.25" customHeight="1" x14ac:dyDescent="0.25">
      <c r="E617" s="2"/>
      <c r="H617" s="53"/>
    </row>
    <row r="618" spans="5:8" ht="14.25" customHeight="1" x14ac:dyDescent="0.25">
      <c r="E618" s="2"/>
      <c r="H618" s="53"/>
    </row>
    <row r="619" spans="5:8" ht="14.25" customHeight="1" x14ac:dyDescent="0.25">
      <c r="E619" s="2"/>
      <c r="H619" s="53"/>
    </row>
    <row r="620" spans="5:8" ht="14.25" customHeight="1" x14ac:dyDescent="0.25">
      <c r="E620" s="2"/>
      <c r="H620" s="53"/>
    </row>
    <row r="621" spans="5:8" ht="14.25" customHeight="1" x14ac:dyDescent="0.25">
      <c r="E621" s="2"/>
      <c r="H621" s="53"/>
    </row>
    <row r="622" spans="5:8" ht="14.25" customHeight="1" x14ac:dyDescent="0.25">
      <c r="E622" s="2"/>
      <c r="H622" s="53"/>
    </row>
    <row r="623" spans="5:8" ht="14.25" customHeight="1" x14ac:dyDescent="0.25">
      <c r="E623" s="2"/>
      <c r="H623" s="53"/>
    </row>
    <row r="624" spans="5:8" ht="14.25" customHeight="1" x14ac:dyDescent="0.25">
      <c r="E624" s="2"/>
      <c r="H624" s="53"/>
    </row>
    <row r="625" spans="5:8" ht="14.25" customHeight="1" x14ac:dyDescent="0.25">
      <c r="E625" s="2"/>
      <c r="H625" s="53"/>
    </row>
    <row r="626" spans="5:8" ht="14.25" customHeight="1" x14ac:dyDescent="0.25">
      <c r="E626" s="2"/>
      <c r="H626" s="53"/>
    </row>
    <row r="627" spans="5:8" ht="14.25" customHeight="1" x14ac:dyDescent="0.25">
      <c r="E627" s="2"/>
      <c r="H627" s="53"/>
    </row>
    <row r="628" spans="5:8" ht="14.25" customHeight="1" x14ac:dyDescent="0.25">
      <c r="E628" s="2"/>
      <c r="H628" s="53"/>
    </row>
    <row r="629" spans="5:8" ht="14.25" customHeight="1" x14ac:dyDescent="0.25">
      <c r="E629" s="2"/>
      <c r="H629" s="53"/>
    </row>
    <row r="630" spans="5:8" ht="14.25" customHeight="1" x14ac:dyDescent="0.25">
      <c r="E630" s="2"/>
      <c r="H630" s="53"/>
    </row>
    <row r="631" spans="5:8" ht="14.25" customHeight="1" x14ac:dyDescent="0.25">
      <c r="E631" s="2"/>
      <c r="H631" s="53"/>
    </row>
    <row r="632" spans="5:8" ht="14.25" customHeight="1" x14ac:dyDescent="0.25">
      <c r="E632" s="2"/>
      <c r="H632" s="53"/>
    </row>
    <row r="633" spans="5:8" ht="14.25" customHeight="1" x14ac:dyDescent="0.25">
      <c r="E633" s="2"/>
      <c r="H633" s="53"/>
    </row>
    <row r="634" spans="5:8" ht="14.25" customHeight="1" x14ac:dyDescent="0.25">
      <c r="E634" s="2"/>
      <c r="H634" s="53"/>
    </row>
    <row r="635" spans="5:8" ht="14.25" customHeight="1" x14ac:dyDescent="0.25">
      <c r="E635" s="2"/>
      <c r="H635" s="53"/>
    </row>
    <row r="636" spans="5:8" ht="14.25" customHeight="1" x14ac:dyDescent="0.25">
      <c r="E636" s="2"/>
      <c r="H636" s="53"/>
    </row>
    <row r="637" spans="5:8" ht="14.25" customHeight="1" x14ac:dyDescent="0.25">
      <c r="E637" s="2"/>
      <c r="H637" s="53"/>
    </row>
    <row r="638" spans="5:8" ht="14.25" customHeight="1" x14ac:dyDescent="0.25">
      <c r="E638" s="2"/>
      <c r="H638" s="53"/>
    </row>
    <row r="639" spans="5:8" ht="14.25" customHeight="1" x14ac:dyDescent="0.25">
      <c r="E639" s="2"/>
      <c r="H639" s="53"/>
    </row>
    <row r="640" spans="5:8" ht="14.25" customHeight="1" x14ac:dyDescent="0.25">
      <c r="E640" s="2"/>
      <c r="H640" s="53"/>
    </row>
    <row r="641" spans="5:8" ht="14.25" customHeight="1" x14ac:dyDescent="0.25">
      <c r="E641" s="2"/>
      <c r="H641" s="53"/>
    </row>
    <row r="642" spans="5:8" ht="14.25" customHeight="1" x14ac:dyDescent="0.25">
      <c r="E642" s="2"/>
      <c r="H642" s="53"/>
    </row>
    <row r="643" spans="5:8" ht="14.25" customHeight="1" x14ac:dyDescent="0.25">
      <c r="E643" s="2"/>
      <c r="H643" s="53"/>
    </row>
    <row r="644" spans="5:8" ht="14.25" customHeight="1" x14ac:dyDescent="0.25">
      <c r="E644" s="2"/>
      <c r="H644" s="53"/>
    </row>
    <row r="645" spans="5:8" ht="14.25" customHeight="1" x14ac:dyDescent="0.25">
      <c r="E645" s="2"/>
      <c r="H645" s="53"/>
    </row>
    <row r="646" spans="5:8" ht="14.25" customHeight="1" x14ac:dyDescent="0.25">
      <c r="E646" s="2"/>
      <c r="H646" s="53"/>
    </row>
    <row r="647" spans="5:8" ht="14.25" customHeight="1" x14ac:dyDescent="0.25">
      <c r="E647" s="2"/>
      <c r="H647" s="53"/>
    </row>
    <row r="648" spans="5:8" ht="14.25" customHeight="1" x14ac:dyDescent="0.25">
      <c r="E648" s="2"/>
      <c r="H648" s="53"/>
    </row>
    <row r="649" spans="5:8" ht="14.25" customHeight="1" x14ac:dyDescent="0.25">
      <c r="E649" s="2"/>
      <c r="H649" s="53"/>
    </row>
    <row r="650" spans="5:8" ht="14.25" customHeight="1" x14ac:dyDescent="0.25">
      <c r="E650" s="2"/>
      <c r="H650" s="53"/>
    </row>
    <row r="651" spans="5:8" ht="14.25" customHeight="1" x14ac:dyDescent="0.25">
      <c r="E651" s="2"/>
      <c r="H651" s="53"/>
    </row>
    <row r="652" spans="5:8" ht="14.25" customHeight="1" x14ac:dyDescent="0.25">
      <c r="E652" s="2"/>
      <c r="H652" s="53"/>
    </row>
    <row r="653" spans="5:8" ht="14.25" customHeight="1" x14ac:dyDescent="0.25">
      <c r="E653" s="2"/>
      <c r="H653" s="53"/>
    </row>
    <row r="654" spans="5:8" ht="14.25" customHeight="1" x14ac:dyDescent="0.25">
      <c r="E654" s="2"/>
      <c r="H654" s="53"/>
    </row>
    <row r="655" spans="5:8" ht="14.25" customHeight="1" x14ac:dyDescent="0.25">
      <c r="E655" s="2"/>
      <c r="H655" s="53"/>
    </row>
    <row r="656" spans="5:8" ht="14.25" customHeight="1" x14ac:dyDescent="0.25">
      <c r="E656" s="2"/>
      <c r="H656" s="53"/>
    </row>
    <row r="657" spans="5:8" ht="14.25" customHeight="1" x14ac:dyDescent="0.25">
      <c r="E657" s="2"/>
      <c r="H657" s="53"/>
    </row>
    <row r="658" spans="5:8" ht="14.25" customHeight="1" x14ac:dyDescent="0.25">
      <c r="E658" s="2"/>
      <c r="H658" s="53"/>
    </row>
    <row r="659" spans="5:8" ht="14.25" customHeight="1" x14ac:dyDescent="0.25">
      <c r="E659" s="2"/>
      <c r="H659" s="53"/>
    </row>
    <row r="660" spans="5:8" ht="14.25" customHeight="1" x14ac:dyDescent="0.25">
      <c r="E660" s="2"/>
      <c r="H660" s="53"/>
    </row>
    <row r="661" spans="5:8" ht="14.25" customHeight="1" x14ac:dyDescent="0.25">
      <c r="E661" s="2"/>
      <c r="H661" s="53"/>
    </row>
    <row r="662" spans="5:8" ht="14.25" customHeight="1" x14ac:dyDescent="0.25">
      <c r="E662" s="2"/>
      <c r="H662" s="53"/>
    </row>
    <row r="663" spans="5:8" ht="14.25" customHeight="1" x14ac:dyDescent="0.25">
      <c r="E663" s="2"/>
      <c r="H663" s="53"/>
    </row>
    <row r="664" spans="5:8" ht="14.25" customHeight="1" x14ac:dyDescent="0.25">
      <c r="E664" s="2"/>
      <c r="H664" s="53"/>
    </row>
    <row r="665" spans="5:8" ht="14.25" customHeight="1" x14ac:dyDescent="0.25">
      <c r="E665" s="2"/>
      <c r="H665" s="53"/>
    </row>
    <row r="666" spans="5:8" ht="14.25" customHeight="1" x14ac:dyDescent="0.25">
      <c r="E666" s="2"/>
      <c r="H666" s="53"/>
    </row>
    <row r="667" spans="5:8" ht="14.25" customHeight="1" x14ac:dyDescent="0.25">
      <c r="E667" s="2"/>
      <c r="H667" s="53"/>
    </row>
    <row r="668" spans="5:8" ht="14.25" customHeight="1" x14ac:dyDescent="0.25">
      <c r="E668" s="2"/>
      <c r="H668" s="53"/>
    </row>
    <row r="669" spans="5:8" ht="14.25" customHeight="1" x14ac:dyDescent="0.25">
      <c r="E669" s="2"/>
      <c r="H669" s="53"/>
    </row>
    <row r="670" spans="5:8" ht="14.25" customHeight="1" x14ac:dyDescent="0.25">
      <c r="E670" s="2"/>
      <c r="H670" s="53"/>
    </row>
    <row r="671" spans="5:8" ht="14.25" customHeight="1" x14ac:dyDescent="0.25">
      <c r="E671" s="2"/>
      <c r="H671" s="53"/>
    </row>
    <row r="672" spans="5:8" ht="14.25" customHeight="1" x14ac:dyDescent="0.25">
      <c r="E672" s="2"/>
      <c r="H672" s="53"/>
    </row>
    <row r="673" spans="5:8" ht="14.25" customHeight="1" x14ac:dyDescent="0.25">
      <c r="E673" s="2"/>
      <c r="H673" s="53"/>
    </row>
    <row r="674" spans="5:8" ht="14.25" customHeight="1" x14ac:dyDescent="0.25">
      <c r="E674" s="2"/>
      <c r="H674" s="53"/>
    </row>
    <row r="675" spans="5:8" ht="14.25" customHeight="1" x14ac:dyDescent="0.25">
      <c r="E675" s="2"/>
      <c r="H675" s="53"/>
    </row>
    <row r="676" spans="5:8" ht="14.25" customHeight="1" x14ac:dyDescent="0.25">
      <c r="E676" s="2"/>
      <c r="H676" s="53"/>
    </row>
    <row r="677" spans="5:8" ht="14.25" customHeight="1" x14ac:dyDescent="0.25">
      <c r="E677" s="2"/>
      <c r="H677" s="53"/>
    </row>
    <row r="678" spans="5:8" ht="14.25" customHeight="1" x14ac:dyDescent="0.25">
      <c r="E678" s="2"/>
      <c r="H678" s="53"/>
    </row>
    <row r="679" spans="5:8" ht="14.25" customHeight="1" x14ac:dyDescent="0.25">
      <c r="E679" s="2"/>
      <c r="H679" s="53"/>
    </row>
    <row r="680" spans="5:8" ht="14.25" customHeight="1" x14ac:dyDescent="0.25">
      <c r="E680" s="2"/>
      <c r="H680" s="53"/>
    </row>
    <row r="681" spans="5:8" ht="14.25" customHeight="1" x14ac:dyDescent="0.25">
      <c r="E681" s="2"/>
      <c r="H681" s="53"/>
    </row>
    <row r="682" spans="5:8" ht="14.25" customHeight="1" x14ac:dyDescent="0.25">
      <c r="E682" s="2"/>
      <c r="H682" s="53"/>
    </row>
    <row r="683" spans="5:8" ht="14.25" customHeight="1" x14ac:dyDescent="0.25">
      <c r="E683" s="2"/>
      <c r="H683" s="53"/>
    </row>
    <row r="684" spans="5:8" ht="14.25" customHeight="1" x14ac:dyDescent="0.25">
      <c r="E684" s="2"/>
      <c r="H684" s="53"/>
    </row>
    <row r="685" spans="5:8" ht="14.25" customHeight="1" x14ac:dyDescent="0.25">
      <c r="E685" s="2"/>
      <c r="H685" s="53"/>
    </row>
    <row r="686" spans="5:8" ht="14.25" customHeight="1" x14ac:dyDescent="0.25">
      <c r="E686" s="2"/>
      <c r="H686" s="53"/>
    </row>
    <row r="687" spans="5:8" ht="14.25" customHeight="1" x14ac:dyDescent="0.25">
      <c r="E687" s="2"/>
      <c r="H687" s="53"/>
    </row>
    <row r="688" spans="5:8" ht="14.25" customHeight="1" x14ac:dyDescent="0.25">
      <c r="E688" s="2"/>
      <c r="H688" s="53"/>
    </row>
    <row r="689" spans="5:8" ht="14.25" customHeight="1" x14ac:dyDescent="0.25">
      <c r="E689" s="2"/>
      <c r="H689" s="53"/>
    </row>
    <row r="690" spans="5:8" ht="14.25" customHeight="1" x14ac:dyDescent="0.25">
      <c r="E690" s="2"/>
      <c r="H690" s="53"/>
    </row>
    <row r="691" spans="5:8" ht="14.25" customHeight="1" x14ac:dyDescent="0.25">
      <c r="E691" s="2"/>
      <c r="H691" s="53"/>
    </row>
    <row r="692" spans="5:8" ht="14.25" customHeight="1" x14ac:dyDescent="0.25">
      <c r="E692" s="2"/>
      <c r="H692" s="53"/>
    </row>
    <row r="693" spans="5:8" ht="14.25" customHeight="1" x14ac:dyDescent="0.25">
      <c r="E693" s="2"/>
      <c r="H693" s="53"/>
    </row>
    <row r="694" spans="5:8" ht="14.25" customHeight="1" x14ac:dyDescent="0.25">
      <c r="E694" s="2"/>
      <c r="H694" s="53"/>
    </row>
    <row r="695" spans="5:8" ht="14.25" customHeight="1" x14ac:dyDescent="0.25">
      <c r="E695" s="2"/>
      <c r="H695" s="53"/>
    </row>
    <row r="696" spans="5:8" ht="14.25" customHeight="1" x14ac:dyDescent="0.25">
      <c r="E696" s="2"/>
      <c r="H696" s="53"/>
    </row>
    <row r="697" spans="5:8" ht="14.25" customHeight="1" x14ac:dyDescent="0.25">
      <c r="E697" s="2"/>
      <c r="H697" s="53"/>
    </row>
    <row r="698" spans="5:8" ht="14.25" customHeight="1" x14ac:dyDescent="0.25">
      <c r="E698" s="2"/>
      <c r="H698" s="53"/>
    </row>
    <row r="699" spans="5:8" ht="14.25" customHeight="1" x14ac:dyDescent="0.25">
      <c r="E699" s="2"/>
      <c r="H699" s="53"/>
    </row>
    <row r="700" spans="5:8" ht="14.25" customHeight="1" x14ac:dyDescent="0.25">
      <c r="E700" s="2"/>
      <c r="H700" s="53"/>
    </row>
    <row r="701" spans="5:8" ht="14.25" customHeight="1" x14ac:dyDescent="0.25">
      <c r="E701" s="2"/>
      <c r="H701" s="53"/>
    </row>
    <row r="702" spans="5:8" ht="14.25" customHeight="1" x14ac:dyDescent="0.25">
      <c r="E702" s="2"/>
      <c r="H702" s="53"/>
    </row>
    <row r="703" spans="5:8" ht="14.25" customHeight="1" x14ac:dyDescent="0.25">
      <c r="E703" s="2"/>
      <c r="H703" s="53"/>
    </row>
    <row r="704" spans="5:8" ht="14.25" customHeight="1" x14ac:dyDescent="0.25">
      <c r="E704" s="2"/>
      <c r="H704" s="53"/>
    </row>
    <row r="705" spans="5:8" ht="14.25" customHeight="1" x14ac:dyDescent="0.25">
      <c r="E705" s="2"/>
      <c r="H705" s="53"/>
    </row>
    <row r="706" spans="5:8" ht="14.25" customHeight="1" x14ac:dyDescent="0.25">
      <c r="E706" s="2"/>
      <c r="H706" s="53"/>
    </row>
    <row r="707" spans="5:8" ht="14.25" customHeight="1" x14ac:dyDescent="0.25">
      <c r="E707" s="2"/>
      <c r="H707" s="53"/>
    </row>
    <row r="708" spans="5:8" ht="14.25" customHeight="1" x14ac:dyDescent="0.25">
      <c r="E708" s="2"/>
      <c r="H708" s="53"/>
    </row>
    <row r="709" spans="5:8" ht="14.25" customHeight="1" x14ac:dyDescent="0.25">
      <c r="E709" s="2"/>
      <c r="H709" s="53"/>
    </row>
    <row r="710" spans="5:8" ht="14.25" customHeight="1" x14ac:dyDescent="0.25">
      <c r="E710" s="2"/>
      <c r="H710" s="53"/>
    </row>
    <row r="711" spans="5:8" ht="14.25" customHeight="1" x14ac:dyDescent="0.25">
      <c r="E711" s="2"/>
      <c r="H711" s="53"/>
    </row>
    <row r="712" spans="5:8" ht="14.25" customHeight="1" x14ac:dyDescent="0.25">
      <c r="E712" s="2"/>
      <c r="H712" s="53"/>
    </row>
    <row r="713" spans="5:8" ht="14.25" customHeight="1" x14ac:dyDescent="0.25">
      <c r="E713" s="2"/>
      <c r="H713" s="53"/>
    </row>
    <row r="714" spans="5:8" ht="14.25" customHeight="1" x14ac:dyDescent="0.25">
      <c r="E714" s="2"/>
      <c r="H714" s="53"/>
    </row>
    <row r="715" spans="5:8" ht="14.25" customHeight="1" x14ac:dyDescent="0.25">
      <c r="E715" s="2"/>
      <c r="H715" s="53"/>
    </row>
    <row r="716" spans="5:8" ht="14.25" customHeight="1" x14ac:dyDescent="0.25">
      <c r="E716" s="2"/>
      <c r="H716" s="53"/>
    </row>
    <row r="717" spans="5:8" ht="14.25" customHeight="1" x14ac:dyDescent="0.25">
      <c r="E717" s="2"/>
      <c r="H717" s="53"/>
    </row>
    <row r="718" spans="5:8" ht="14.25" customHeight="1" x14ac:dyDescent="0.25">
      <c r="E718" s="2"/>
      <c r="H718" s="53"/>
    </row>
    <row r="719" spans="5:8" ht="14.25" customHeight="1" x14ac:dyDescent="0.25">
      <c r="E719" s="2"/>
      <c r="H719" s="53"/>
    </row>
    <row r="720" spans="5:8" ht="14.25" customHeight="1" x14ac:dyDescent="0.25">
      <c r="E720" s="2"/>
      <c r="H720" s="53"/>
    </row>
    <row r="721" spans="5:8" ht="14.25" customHeight="1" x14ac:dyDescent="0.25">
      <c r="E721" s="2"/>
      <c r="H721" s="53"/>
    </row>
    <row r="722" spans="5:8" ht="14.25" customHeight="1" x14ac:dyDescent="0.25">
      <c r="E722" s="2"/>
      <c r="H722" s="53"/>
    </row>
    <row r="723" spans="5:8" ht="14.25" customHeight="1" x14ac:dyDescent="0.25">
      <c r="E723" s="2"/>
      <c r="H723" s="53"/>
    </row>
    <row r="724" spans="5:8" ht="14.25" customHeight="1" x14ac:dyDescent="0.25">
      <c r="E724" s="2"/>
      <c r="H724" s="53"/>
    </row>
    <row r="725" spans="5:8" ht="14.25" customHeight="1" x14ac:dyDescent="0.25">
      <c r="E725" s="2"/>
      <c r="H725" s="53"/>
    </row>
    <row r="726" spans="5:8" ht="14.25" customHeight="1" x14ac:dyDescent="0.25">
      <c r="E726" s="2"/>
      <c r="H726" s="53"/>
    </row>
    <row r="727" spans="5:8" ht="14.25" customHeight="1" x14ac:dyDescent="0.25">
      <c r="E727" s="2"/>
      <c r="H727" s="53"/>
    </row>
    <row r="728" spans="5:8" ht="14.25" customHeight="1" x14ac:dyDescent="0.25">
      <c r="E728" s="2"/>
      <c r="H728" s="53"/>
    </row>
    <row r="729" spans="5:8" ht="14.25" customHeight="1" x14ac:dyDescent="0.25">
      <c r="E729" s="2"/>
      <c r="H729" s="53"/>
    </row>
    <row r="730" spans="5:8" ht="14.25" customHeight="1" x14ac:dyDescent="0.25">
      <c r="E730" s="2"/>
      <c r="H730" s="53"/>
    </row>
    <row r="731" spans="5:8" ht="14.25" customHeight="1" x14ac:dyDescent="0.25">
      <c r="E731" s="2"/>
      <c r="H731" s="53"/>
    </row>
    <row r="732" spans="5:8" ht="14.25" customHeight="1" x14ac:dyDescent="0.25">
      <c r="E732" s="2"/>
      <c r="H732" s="53"/>
    </row>
    <row r="733" spans="5:8" ht="14.25" customHeight="1" x14ac:dyDescent="0.25">
      <c r="E733" s="2"/>
      <c r="H733" s="53"/>
    </row>
    <row r="734" spans="5:8" ht="14.25" customHeight="1" x14ac:dyDescent="0.25">
      <c r="E734" s="2"/>
      <c r="H734" s="53"/>
    </row>
    <row r="735" spans="5:8" ht="14.25" customHeight="1" x14ac:dyDescent="0.25">
      <c r="E735" s="2"/>
      <c r="H735" s="53"/>
    </row>
    <row r="736" spans="5:8" ht="14.25" customHeight="1" x14ac:dyDescent="0.25">
      <c r="E736" s="2"/>
      <c r="H736" s="53"/>
    </row>
    <row r="737" spans="5:8" ht="14.25" customHeight="1" x14ac:dyDescent="0.25">
      <c r="E737" s="2"/>
      <c r="H737" s="53"/>
    </row>
    <row r="738" spans="5:8" ht="14.25" customHeight="1" x14ac:dyDescent="0.25">
      <c r="E738" s="2"/>
      <c r="H738" s="53"/>
    </row>
    <row r="739" spans="5:8" ht="14.25" customHeight="1" x14ac:dyDescent="0.25">
      <c r="E739" s="2"/>
      <c r="H739" s="53"/>
    </row>
    <row r="740" spans="5:8" ht="14.25" customHeight="1" x14ac:dyDescent="0.25">
      <c r="E740" s="2"/>
      <c r="H740" s="53"/>
    </row>
    <row r="741" spans="5:8" ht="14.25" customHeight="1" x14ac:dyDescent="0.25">
      <c r="E741" s="2"/>
      <c r="H741" s="53"/>
    </row>
    <row r="742" spans="5:8" ht="14.25" customHeight="1" x14ac:dyDescent="0.25">
      <c r="E742" s="2"/>
      <c r="H742" s="53"/>
    </row>
    <row r="743" spans="5:8" ht="14.25" customHeight="1" x14ac:dyDescent="0.25">
      <c r="E743" s="2"/>
      <c r="H743" s="53"/>
    </row>
    <row r="744" spans="5:8" ht="14.25" customHeight="1" x14ac:dyDescent="0.25">
      <c r="E744" s="2"/>
      <c r="H744" s="53"/>
    </row>
    <row r="745" spans="5:8" ht="14.25" customHeight="1" x14ac:dyDescent="0.25">
      <c r="E745" s="2"/>
      <c r="H745" s="53"/>
    </row>
    <row r="746" spans="5:8" ht="14.25" customHeight="1" x14ac:dyDescent="0.25">
      <c r="E746" s="2"/>
      <c r="H746" s="53"/>
    </row>
    <row r="747" spans="5:8" ht="14.25" customHeight="1" x14ac:dyDescent="0.25">
      <c r="E747" s="2"/>
      <c r="H747" s="53"/>
    </row>
    <row r="748" spans="5:8" ht="14.25" customHeight="1" x14ac:dyDescent="0.25">
      <c r="E748" s="2"/>
      <c r="H748" s="53"/>
    </row>
    <row r="749" spans="5:8" ht="14.25" customHeight="1" x14ac:dyDescent="0.25">
      <c r="E749" s="2"/>
      <c r="H749" s="53"/>
    </row>
    <row r="750" spans="5:8" ht="14.25" customHeight="1" x14ac:dyDescent="0.25">
      <c r="E750" s="2"/>
      <c r="H750" s="53"/>
    </row>
    <row r="751" spans="5:8" ht="14.25" customHeight="1" x14ac:dyDescent="0.25">
      <c r="E751" s="2"/>
      <c r="H751" s="53"/>
    </row>
    <row r="752" spans="5:8" ht="14.25" customHeight="1" x14ac:dyDescent="0.25">
      <c r="E752" s="2"/>
      <c r="H752" s="53"/>
    </row>
    <row r="753" spans="5:8" ht="14.25" customHeight="1" x14ac:dyDescent="0.25">
      <c r="E753" s="2"/>
      <c r="H753" s="53"/>
    </row>
    <row r="754" spans="5:8" ht="14.25" customHeight="1" x14ac:dyDescent="0.25">
      <c r="E754" s="2"/>
      <c r="H754" s="53"/>
    </row>
    <row r="755" spans="5:8" ht="14.25" customHeight="1" x14ac:dyDescent="0.25">
      <c r="E755" s="2"/>
      <c r="H755" s="53"/>
    </row>
    <row r="756" spans="5:8" ht="14.25" customHeight="1" x14ac:dyDescent="0.25">
      <c r="E756" s="2"/>
      <c r="H756" s="53"/>
    </row>
    <row r="757" spans="5:8" ht="14.25" customHeight="1" x14ac:dyDescent="0.25">
      <c r="E757" s="2"/>
      <c r="H757" s="53"/>
    </row>
    <row r="758" spans="5:8" ht="14.25" customHeight="1" x14ac:dyDescent="0.25">
      <c r="E758" s="2"/>
      <c r="H758" s="53"/>
    </row>
    <row r="759" spans="5:8" ht="14.25" customHeight="1" x14ac:dyDescent="0.25">
      <c r="E759" s="2"/>
      <c r="H759" s="53"/>
    </row>
    <row r="760" spans="5:8" ht="14.25" customHeight="1" x14ac:dyDescent="0.25">
      <c r="E760" s="2"/>
      <c r="H760" s="53"/>
    </row>
    <row r="761" spans="5:8" ht="14.25" customHeight="1" x14ac:dyDescent="0.25">
      <c r="E761" s="2"/>
      <c r="H761" s="53"/>
    </row>
    <row r="762" spans="5:8" ht="14.25" customHeight="1" x14ac:dyDescent="0.25">
      <c r="E762" s="2"/>
      <c r="H762" s="53"/>
    </row>
    <row r="763" spans="5:8" ht="14.25" customHeight="1" x14ac:dyDescent="0.25">
      <c r="E763" s="2"/>
      <c r="H763" s="53"/>
    </row>
    <row r="764" spans="5:8" ht="14.25" customHeight="1" x14ac:dyDescent="0.25">
      <c r="E764" s="2"/>
      <c r="H764" s="53"/>
    </row>
    <row r="765" spans="5:8" ht="14.25" customHeight="1" x14ac:dyDescent="0.25">
      <c r="E765" s="2"/>
      <c r="H765" s="53"/>
    </row>
    <row r="766" spans="5:8" ht="14.25" customHeight="1" x14ac:dyDescent="0.25">
      <c r="E766" s="2"/>
      <c r="H766" s="53"/>
    </row>
    <row r="767" spans="5:8" ht="14.25" customHeight="1" x14ac:dyDescent="0.25">
      <c r="E767" s="2"/>
      <c r="H767" s="53"/>
    </row>
    <row r="768" spans="5:8" ht="14.25" customHeight="1" x14ac:dyDescent="0.25">
      <c r="E768" s="2"/>
      <c r="H768" s="53"/>
    </row>
    <row r="769" spans="5:8" ht="14.25" customHeight="1" x14ac:dyDescent="0.25">
      <c r="E769" s="2"/>
      <c r="H769" s="53"/>
    </row>
    <row r="770" spans="5:8" ht="14.25" customHeight="1" x14ac:dyDescent="0.25">
      <c r="E770" s="2"/>
      <c r="H770" s="53"/>
    </row>
    <row r="771" spans="5:8" ht="14.25" customHeight="1" x14ac:dyDescent="0.25">
      <c r="E771" s="2"/>
      <c r="H771" s="53"/>
    </row>
    <row r="772" spans="5:8" ht="14.25" customHeight="1" x14ac:dyDescent="0.25">
      <c r="E772" s="2"/>
      <c r="H772" s="53"/>
    </row>
    <row r="773" spans="5:8" ht="14.25" customHeight="1" x14ac:dyDescent="0.25">
      <c r="E773" s="2"/>
      <c r="H773" s="53"/>
    </row>
    <row r="774" spans="5:8" ht="14.25" customHeight="1" x14ac:dyDescent="0.25">
      <c r="E774" s="2"/>
      <c r="H774" s="53"/>
    </row>
    <row r="775" spans="5:8" ht="14.25" customHeight="1" x14ac:dyDescent="0.25">
      <c r="E775" s="2"/>
      <c r="H775" s="53"/>
    </row>
    <row r="776" spans="5:8" ht="14.25" customHeight="1" x14ac:dyDescent="0.25">
      <c r="E776" s="2"/>
      <c r="H776" s="53"/>
    </row>
    <row r="777" spans="5:8" ht="14.25" customHeight="1" x14ac:dyDescent="0.25">
      <c r="E777" s="2"/>
      <c r="H777" s="53"/>
    </row>
    <row r="778" spans="5:8" ht="14.25" customHeight="1" x14ac:dyDescent="0.25">
      <c r="E778" s="2"/>
      <c r="H778" s="53"/>
    </row>
    <row r="779" spans="5:8" ht="14.25" customHeight="1" x14ac:dyDescent="0.25">
      <c r="E779" s="2"/>
      <c r="H779" s="53"/>
    </row>
    <row r="780" spans="5:8" ht="14.25" customHeight="1" x14ac:dyDescent="0.25">
      <c r="E780" s="2"/>
      <c r="H780" s="53"/>
    </row>
    <row r="781" spans="5:8" ht="14.25" customHeight="1" x14ac:dyDescent="0.25">
      <c r="E781" s="2"/>
      <c r="H781" s="53"/>
    </row>
    <row r="782" spans="5:8" ht="14.25" customHeight="1" x14ac:dyDescent="0.25">
      <c r="E782" s="2"/>
      <c r="H782" s="53"/>
    </row>
    <row r="783" spans="5:8" ht="14.25" customHeight="1" x14ac:dyDescent="0.25">
      <c r="E783" s="2"/>
      <c r="H783" s="53"/>
    </row>
    <row r="784" spans="5:8" ht="14.25" customHeight="1" x14ac:dyDescent="0.25">
      <c r="E784" s="2"/>
      <c r="H784" s="53"/>
    </row>
    <row r="785" spans="5:8" ht="14.25" customHeight="1" x14ac:dyDescent="0.25">
      <c r="E785" s="2"/>
      <c r="H785" s="53"/>
    </row>
    <row r="786" spans="5:8" ht="14.25" customHeight="1" x14ac:dyDescent="0.25">
      <c r="E786" s="2"/>
      <c r="H786" s="53"/>
    </row>
    <row r="787" spans="5:8" ht="14.25" customHeight="1" x14ac:dyDescent="0.25">
      <c r="E787" s="2"/>
      <c r="H787" s="53"/>
    </row>
    <row r="788" spans="5:8" ht="14.25" customHeight="1" x14ac:dyDescent="0.25">
      <c r="E788" s="2"/>
      <c r="H788" s="53"/>
    </row>
    <row r="789" spans="5:8" ht="14.25" customHeight="1" x14ac:dyDescent="0.25">
      <c r="E789" s="2"/>
      <c r="H789" s="53"/>
    </row>
    <row r="790" spans="5:8" ht="14.25" customHeight="1" x14ac:dyDescent="0.25">
      <c r="E790" s="2"/>
      <c r="H790" s="53"/>
    </row>
    <row r="791" spans="5:8" ht="14.25" customHeight="1" x14ac:dyDescent="0.25">
      <c r="E791" s="2"/>
      <c r="H791" s="53"/>
    </row>
    <row r="792" spans="5:8" ht="14.25" customHeight="1" x14ac:dyDescent="0.25">
      <c r="E792" s="2"/>
      <c r="H792" s="53"/>
    </row>
    <row r="793" spans="5:8" ht="14.25" customHeight="1" x14ac:dyDescent="0.25">
      <c r="E793" s="2"/>
      <c r="H793" s="53"/>
    </row>
    <row r="794" spans="5:8" ht="14.25" customHeight="1" x14ac:dyDescent="0.25">
      <c r="E794" s="2"/>
      <c r="H794" s="53"/>
    </row>
    <row r="795" spans="5:8" ht="14.25" customHeight="1" x14ac:dyDescent="0.25">
      <c r="E795" s="2"/>
      <c r="H795" s="53"/>
    </row>
    <row r="796" spans="5:8" ht="14.25" customHeight="1" x14ac:dyDescent="0.25">
      <c r="E796" s="2"/>
      <c r="H796" s="53"/>
    </row>
    <row r="797" spans="5:8" ht="14.25" customHeight="1" x14ac:dyDescent="0.25">
      <c r="E797" s="2"/>
      <c r="H797" s="53"/>
    </row>
    <row r="798" spans="5:8" ht="14.25" customHeight="1" x14ac:dyDescent="0.25">
      <c r="E798" s="2"/>
      <c r="H798" s="53"/>
    </row>
    <row r="799" spans="5:8" ht="14.25" customHeight="1" x14ac:dyDescent="0.25">
      <c r="E799" s="2"/>
      <c r="H799" s="53"/>
    </row>
    <row r="800" spans="5:8" ht="14.25" customHeight="1" x14ac:dyDescent="0.25">
      <c r="E800" s="2"/>
      <c r="H800" s="53"/>
    </row>
    <row r="801" spans="5:8" ht="14.25" customHeight="1" x14ac:dyDescent="0.25">
      <c r="E801" s="2"/>
      <c r="H801" s="53"/>
    </row>
    <row r="802" spans="5:8" ht="14.25" customHeight="1" x14ac:dyDescent="0.25">
      <c r="E802" s="2"/>
      <c r="H802" s="53"/>
    </row>
    <row r="803" spans="5:8" ht="14.25" customHeight="1" x14ac:dyDescent="0.25">
      <c r="E803" s="2"/>
      <c r="H803" s="53"/>
    </row>
    <row r="804" spans="5:8" ht="14.25" customHeight="1" x14ac:dyDescent="0.25">
      <c r="E804" s="2"/>
      <c r="H804" s="53"/>
    </row>
    <row r="805" spans="5:8" ht="14.25" customHeight="1" x14ac:dyDescent="0.25">
      <c r="E805" s="2"/>
      <c r="H805" s="53"/>
    </row>
    <row r="806" spans="5:8" ht="14.25" customHeight="1" x14ac:dyDescent="0.25">
      <c r="E806" s="2"/>
      <c r="H806" s="53"/>
    </row>
    <row r="807" spans="5:8" ht="14.25" customHeight="1" x14ac:dyDescent="0.25">
      <c r="E807" s="2"/>
      <c r="H807" s="53"/>
    </row>
    <row r="808" spans="5:8" ht="14.25" customHeight="1" x14ac:dyDescent="0.25">
      <c r="E808" s="2"/>
      <c r="H808" s="53"/>
    </row>
    <row r="809" spans="5:8" ht="14.25" customHeight="1" x14ac:dyDescent="0.25">
      <c r="E809" s="2"/>
      <c r="H809" s="53"/>
    </row>
    <row r="810" spans="5:8" ht="14.25" customHeight="1" x14ac:dyDescent="0.25">
      <c r="E810" s="2"/>
      <c r="H810" s="53"/>
    </row>
    <row r="811" spans="5:8" ht="14.25" customHeight="1" x14ac:dyDescent="0.25">
      <c r="E811" s="2"/>
      <c r="H811" s="53"/>
    </row>
    <row r="812" spans="5:8" ht="14.25" customHeight="1" x14ac:dyDescent="0.25">
      <c r="E812" s="2"/>
      <c r="H812" s="53"/>
    </row>
    <row r="813" spans="5:8" ht="14.25" customHeight="1" x14ac:dyDescent="0.25">
      <c r="E813" s="2"/>
      <c r="H813" s="53"/>
    </row>
    <row r="814" spans="5:8" ht="14.25" customHeight="1" x14ac:dyDescent="0.25">
      <c r="E814" s="2"/>
      <c r="H814" s="53"/>
    </row>
    <row r="815" spans="5:8" ht="14.25" customHeight="1" x14ac:dyDescent="0.25">
      <c r="E815" s="2"/>
      <c r="H815" s="53"/>
    </row>
    <row r="816" spans="5:8" ht="14.25" customHeight="1" x14ac:dyDescent="0.25">
      <c r="E816" s="2"/>
      <c r="H816" s="53"/>
    </row>
    <row r="817" spans="5:8" ht="14.25" customHeight="1" x14ac:dyDescent="0.25">
      <c r="E817" s="2"/>
      <c r="H817" s="53"/>
    </row>
    <row r="818" spans="5:8" ht="14.25" customHeight="1" x14ac:dyDescent="0.25">
      <c r="E818" s="2"/>
      <c r="H818" s="53"/>
    </row>
    <row r="819" spans="5:8" ht="14.25" customHeight="1" x14ac:dyDescent="0.25">
      <c r="E819" s="2"/>
      <c r="H819" s="53"/>
    </row>
    <row r="820" spans="5:8" ht="14.25" customHeight="1" x14ac:dyDescent="0.25">
      <c r="E820" s="2"/>
      <c r="H820" s="53"/>
    </row>
    <row r="821" spans="5:8" ht="14.25" customHeight="1" x14ac:dyDescent="0.25">
      <c r="E821" s="2"/>
      <c r="H821" s="53"/>
    </row>
    <row r="822" spans="5:8" ht="14.25" customHeight="1" x14ac:dyDescent="0.25">
      <c r="E822" s="2"/>
      <c r="H822" s="53"/>
    </row>
    <row r="823" spans="5:8" ht="14.25" customHeight="1" x14ac:dyDescent="0.25">
      <c r="E823" s="2"/>
      <c r="H823" s="53"/>
    </row>
    <row r="824" spans="5:8" ht="14.25" customHeight="1" x14ac:dyDescent="0.25">
      <c r="E824" s="2"/>
      <c r="H824" s="53"/>
    </row>
    <row r="825" spans="5:8" ht="14.25" customHeight="1" x14ac:dyDescent="0.25">
      <c r="E825" s="2"/>
      <c r="H825" s="53"/>
    </row>
    <row r="826" spans="5:8" ht="14.25" customHeight="1" x14ac:dyDescent="0.25">
      <c r="E826" s="2"/>
      <c r="H826" s="53"/>
    </row>
    <row r="827" spans="5:8" ht="14.25" customHeight="1" x14ac:dyDescent="0.25">
      <c r="E827" s="2"/>
      <c r="H827" s="53"/>
    </row>
    <row r="828" spans="5:8" ht="14.25" customHeight="1" x14ac:dyDescent="0.25">
      <c r="E828" s="2"/>
      <c r="H828" s="53"/>
    </row>
    <row r="829" spans="5:8" ht="14.25" customHeight="1" x14ac:dyDescent="0.25">
      <c r="E829" s="2"/>
      <c r="H829" s="53"/>
    </row>
    <row r="830" spans="5:8" ht="14.25" customHeight="1" x14ac:dyDescent="0.25">
      <c r="E830" s="2"/>
      <c r="H830" s="53"/>
    </row>
    <row r="831" spans="5:8" ht="14.25" customHeight="1" x14ac:dyDescent="0.25">
      <c r="E831" s="2"/>
      <c r="H831" s="53"/>
    </row>
    <row r="832" spans="5:8" ht="14.25" customHeight="1" x14ac:dyDescent="0.25">
      <c r="E832" s="2"/>
      <c r="H832" s="53"/>
    </row>
    <row r="833" spans="5:8" ht="14.25" customHeight="1" x14ac:dyDescent="0.25">
      <c r="E833" s="2"/>
      <c r="H833" s="53"/>
    </row>
    <row r="834" spans="5:8" ht="14.25" customHeight="1" x14ac:dyDescent="0.25">
      <c r="E834" s="2"/>
      <c r="H834" s="53"/>
    </row>
    <row r="835" spans="5:8" ht="14.25" customHeight="1" x14ac:dyDescent="0.25">
      <c r="E835" s="2"/>
      <c r="H835" s="53"/>
    </row>
    <row r="836" spans="5:8" ht="14.25" customHeight="1" x14ac:dyDescent="0.25">
      <c r="E836" s="2"/>
      <c r="H836" s="53"/>
    </row>
    <row r="837" spans="5:8" ht="14.25" customHeight="1" x14ac:dyDescent="0.25">
      <c r="E837" s="2"/>
      <c r="H837" s="53"/>
    </row>
    <row r="838" spans="5:8" ht="14.25" customHeight="1" x14ac:dyDescent="0.25">
      <c r="E838" s="2"/>
      <c r="H838" s="53"/>
    </row>
    <row r="839" spans="5:8" ht="14.25" customHeight="1" x14ac:dyDescent="0.25">
      <c r="E839" s="2"/>
      <c r="H839" s="53"/>
    </row>
    <row r="840" spans="5:8" ht="14.25" customHeight="1" x14ac:dyDescent="0.25">
      <c r="E840" s="2"/>
      <c r="H840" s="53"/>
    </row>
    <row r="841" spans="5:8" ht="14.25" customHeight="1" x14ac:dyDescent="0.25">
      <c r="E841" s="2"/>
      <c r="H841" s="53"/>
    </row>
    <row r="842" spans="5:8" ht="14.25" customHeight="1" x14ac:dyDescent="0.25">
      <c r="E842" s="2"/>
      <c r="H842" s="53"/>
    </row>
    <row r="843" spans="5:8" ht="14.25" customHeight="1" x14ac:dyDescent="0.25">
      <c r="E843" s="2"/>
      <c r="H843" s="53"/>
    </row>
    <row r="844" spans="5:8" ht="14.25" customHeight="1" x14ac:dyDescent="0.25">
      <c r="E844" s="2"/>
      <c r="H844" s="53"/>
    </row>
    <row r="845" spans="5:8" ht="14.25" customHeight="1" x14ac:dyDescent="0.25">
      <c r="E845" s="2"/>
      <c r="H845" s="53"/>
    </row>
    <row r="846" spans="5:8" ht="14.25" customHeight="1" x14ac:dyDescent="0.25">
      <c r="E846" s="2"/>
      <c r="H846" s="53"/>
    </row>
    <row r="847" spans="5:8" ht="14.25" customHeight="1" x14ac:dyDescent="0.25">
      <c r="E847" s="2"/>
      <c r="H847" s="53"/>
    </row>
    <row r="848" spans="5:8" ht="14.25" customHeight="1" x14ac:dyDescent="0.25">
      <c r="E848" s="2"/>
      <c r="H848" s="53"/>
    </row>
    <row r="849" spans="5:8" ht="14.25" customHeight="1" x14ac:dyDescent="0.25">
      <c r="E849" s="2"/>
      <c r="H849" s="53"/>
    </row>
    <row r="850" spans="5:8" ht="14.25" customHeight="1" x14ac:dyDescent="0.25">
      <c r="E850" s="2"/>
      <c r="H850" s="53"/>
    </row>
    <row r="851" spans="5:8" ht="14.25" customHeight="1" x14ac:dyDescent="0.25">
      <c r="E851" s="2"/>
      <c r="H851" s="53"/>
    </row>
    <row r="852" spans="5:8" ht="14.25" customHeight="1" x14ac:dyDescent="0.25">
      <c r="E852" s="2"/>
      <c r="H852" s="53"/>
    </row>
    <row r="853" spans="5:8" ht="14.25" customHeight="1" x14ac:dyDescent="0.25">
      <c r="E853" s="2"/>
      <c r="H853" s="53"/>
    </row>
    <row r="854" spans="5:8" ht="14.25" customHeight="1" x14ac:dyDescent="0.25">
      <c r="E854" s="2"/>
      <c r="H854" s="53"/>
    </row>
    <row r="855" spans="5:8" ht="14.25" customHeight="1" x14ac:dyDescent="0.25">
      <c r="E855" s="2"/>
      <c r="H855" s="53"/>
    </row>
    <row r="856" spans="5:8" ht="14.25" customHeight="1" x14ac:dyDescent="0.25">
      <c r="E856" s="2"/>
      <c r="H856" s="53"/>
    </row>
    <row r="857" spans="5:8" ht="14.25" customHeight="1" x14ac:dyDescent="0.25">
      <c r="E857" s="2"/>
      <c r="H857" s="53"/>
    </row>
    <row r="858" spans="5:8" ht="14.25" customHeight="1" x14ac:dyDescent="0.25">
      <c r="E858" s="2"/>
      <c r="H858" s="53"/>
    </row>
    <row r="859" spans="5:8" ht="14.25" customHeight="1" x14ac:dyDescent="0.25">
      <c r="E859" s="2"/>
      <c r="H859" s="53"/>
    </row>
    <row r="860" spans="5:8" ht="14.25" customHeight="1" x14ac:dyDescent="0.25">
      <c r="E860" s="2"/>
      <c r="H860" s="53"/>
    </row>
    <row r="861" spans="5:8" ht="14.25" customHeight="1" x14ac:dyDescent="0.25">
      <c r="E861" s="2"/>
      <c r="H861" s="53"/>
    </row>
    <row r="862" spans="5:8" ht="14.25" customHeight="1" x14ac:dyDescent="0.25">
      <c r="E862" s="2"/>
      <c r="H862" s="53"/>
    </row>
    <row r="863" spans="5:8" ht="14.25" customHeight="1" x14ac:dyDescent="0.25">
      <c r="E863" s="2"/>
      <c r="H863" s="53"/>
    </row>
    <row r="864" spans="5:8" ht="14.25" customHeight="1" x14ac:dyDescent="0.25">
      <c r="E864" s="2"/>
      <c r="H864" s="53"/>
    </row>
    <row r="865" spans="5:8" ht="14.25" customHeight="1" x14ac:dyDescent="0.25">
      <c r="E865" s="2"/>
      <c r="H865" s="53"/>
    </row>
    <row r="866" spans="5:8" ht="14.25" customHeight="1" x14ac:dyDescent="0.25">
      <c r="E866" s="2"/>
      <c r="H866" s="53"/>
    </row>
    <row r="867" spans="5:8" ht="14.25" customHeight="1" x14ac:dyDescent="0.25">
      <c r="E867" s="2"/>
      <c r="H867" s="53"/>
    </row>
    <row r="868" spans="5:8" ht="14.25" customHeight="1" x14ac:dyDescent="0.25">
      <c r="E868" s="2"/>
      <c r="H868" s="53"/>
    </row>
    <row r="869" spans="5:8" ht="14.25" customHeight="1" x14ac:dyDescent="0.25">
      <c r="E869" s="2"/>
      <c r="H869" s="53"/>
    </row>
    <row r="870" spans="5:8" ht="14.25" customHeight="1" x14ac:dyDescent="0.25">
      <c r="E870" s="2"/>
      <c r="H870" s="53"/>
    </row>
    <row r="871" spans="5:8" ht="14.25" customHeight="1" x14ac:dyDescent="0.25">
      <c r="E871" s="2"/>
      <c r="H871" s="53"/>
    </row>
    <row r="872" spans="5:8" ht="14.25" customHeight="1" x14ac:dyDescent="0.25">
      <c r="E872" s="2"/>
      <c r="H872" s="53"/>
    </row>
    <row r="873" spans="5:8" ht="14.25" customHeight="1" x14ac:dyDescent="0.25">
      <c r="E873" s="2"/>
      <c r="H873" s="53"/>
    </row>
    <row r="874" spans="5:8" ht="14.25" customHeight="1" x14ac:dyDescent="0.25">
      <c r="E874" s="2"/>
      <c r="H874" s="53"/>
    </row>
    <row r="875" spans="5:8" ht="14.25" customHeight="1" x14ac:dyDescent="0.25">
      <c r="E875" s="2"/>
      <c r="H875" s="53"/>
    </row>
    <row r="876" spans="5:8" ht="14.25" customHeight="1" x14ac:dyDescent="0.25">
      <c r="E876" s="2"/>
      <c r="H876" s="53"/>
    </row>
    <row r="877" spans="5:8" ht="14.25" customHeight="1" x14ac:dyDescent="0.25">
      <c r="E877" s="2"/>
      <c r="H877" s="53"/>
    </row>
    <row r="878" spans="5:8" ht="14.25" customHeight="1" x14ac:dyDescent="0.25">
      <c r="E878" s="2"/>
      <c r="H878" s="53"/>
    </row>
    <row r="879" spans="5:8" ht="14.25" customHeight="1" x14ac:dyDescent="0.25">
      <c r="E879" s="2"/>
      <c r="H879" s="53"/>
    </row>
    <row r="880" spans="5:8" ht="14.25" customHeight="1" x14ac:dyDescent="0.25">
      <c r="E880" s="2"/>
      <c r="H880" s="53"/>
    </row>
    <row r="881" spans="5:8" ht="14.25" customHeight="1" x14ac:dyDescent="0.25">
      <c r="E881" s="2"/>
      <c r="H881" s="53"/>
    </row>
    <row r="882" spans="5:8" ht="14.25" customHeight="1" x14ac:dyDescent="0.25">
      <c r="E882" s="2"/>
      <c r="H882" s="53"/>
    </row>
    <row r="883" spans="5:8" ht="14.25" customHeight="1" x14ac:dyDescent="0.25">
      <c r="E883" s="2"/>
      <c r="H883" s="53"/>
    </row>
    <row r="884" spans="5:8" ht="14.25" customHeight="1" x14ac:dyDescent="0.25">
      <c r="E884" s="2"/>
      <c r="H884" s="53"/>
    </row>
    <row r="885" spans="5:8" ht="14.25" customHeight="1" x14ac:dyDescent="0.25">
      <c r="E885" s="2"/>
      <c r="H885" s="53"/>
    </row>
    <row r="886" spans="5:8" ht="14.25" customHeight="1" x14ac:dyDescent="0.25">
      <c r="E886" s="2"/>
      <c r="H886" s="53"/>
    </row>
    <row r="887" spans="5:8" ht="14.25" customHeight="1" x14ac:dyDescent="0.25">
      <c r="E887" s="2"/>
      <c r="H887" s="53"/>
    </row>
    <row r="888" spans="5:8" ht="14.25" customHeight="1" x14ac:dyDescent="0.25">
      <c r="E888" s="2"/>
      <c r="H888" s="53"/>
    </row>
    <row r="889" spans="5:8" ht="14.25" customHeight="1" x14ac:dyDescent="0.25">
      <c r="E889" s="2"/>
      <c r="H889" s="53"/>
    </row>
    <row r="890" spans="5:8" ht="14.25" customHeight="1" x14ac:dyDescent="0.25">
      <c r="E890" s="2"/>
      <c r="H890" s="53"/>
    </row>
    <row r="891" spans="5:8" ht="14.25" customHeight="1" x14ac:dyDescent="0.25">
      <c r="E891" s="2"/>
      <c r="H891" s="53"/>
    </row>
    <row r="892" spans="5:8" ht="14.25" customHeight="1" x14ac:dyDescent="0.25">
      <c r="E892" s="2"/>
      <c r="H892" s="53"/>
    </row>
    <row r="893" spans="5:8" ht="14.25" customHeight="1" x14ac:dyDescent="0.25">
      <c r="E893" s="2"/>
      <c r="H893" s="53"/>
    </row>
    <row r="894" spans="5:8" ht="14.25" customHeight="1" x14ac:dyDescent="0.25">
      <c r="E894" s="2"/>
      <c r="H894" s="53"/>
    </row>
    <row r="895" spans="5:8" ht="14.25" customHeight="1" x14ac:dyDescent="0.25">
      <c r="E895" s="2"/>
      <c r="H895" s="53"/>
    </row>
    <row r="896" spans="5:8" ht="14.25" customHeight="1" x14ac:dyDescent="0.25">
      <c r="E896" s="2"/>
      <c r="H896" s="53"/>
    </row>
    <row r="897" spans="5:8" ht="14.25" customHeight="1" x14ac:dyDescent="0.25">
      <c r="E897" s="2"/>
      <c r="H897" s="53"/>
    </row>
    <row r="898" spans="5:8" ht="14.25" customHeight="1" x14ac:dyDescent="0.25">
      <c r="E898" s="2"/>
      <c r="H898" s="53"/>
    </row>
    <row r="899" spans="5:8" ht="14.25" customHeight="1" x14ac:dyDescent="0.25">
      <c r="E899" s="2"/>
      <c r="H899" s="53"/>
    </row>
    <row r="900" spans="5:8" ht="14.25" customHeight="1" x14ac:dyDescent="0.25">
      <c r="E900" s="2"/>
      <c r="H900" s="53"/>
    </row>
    <row r="901" spans="5:8" ht="14.25" customHeight="1" x14ac:dyDescent="0.25">
      <c r="E901" s="2"/>
      <c r="H901" s="53"/>
    </row>
    <row r="902" spans="5:8" ht="14.25" customHeight="1" x14ac:dyDescent="0.25">
      <c r="E902" s="2"/>
      <c r="H902" s="53"/>
    </row>
    <row r="903" spans="5:8" ht="14.25" customHeight="1" x14ac:dyDescent="0.25">
      <c r="E903" s="2"/>
      <c r="H903" s="53"/>
    </row>
    <row r="904" spans="5:8" ht="14.25" customHeight="1" x14ac:dyDescent="0.25">
      <c r="E904" s="2"/>
      <c r="H904" s="53"/>
    </row>
    <row r="905" spans="5:8" ht="14.25" customHeight="1" x14ac:dyDescent="0.25">
      <c r="E905" s="2"/>
      <c r="H905" s="53"/>
    </row>
    <row r="906" spans="5:8" ht="14.25" customHeight="1" x14ac:dyDescent="0.25">
      <c r="E906" s="2"/>
      <c r="H906" s="53"/>
    </row>
    <row r="907" spans="5:8" ht="14.25" customHeight="1" x14ac:dyDescent="0.25">
      <c r="E907" s="2"/>
      <c r="H907" s="53"/>
    </row>
    <row r="908" spans="5:8" ht="14.25" customHeight="1" x14ac:dyDescent="0.25">
      <c r="E908" s="2"/>
      <c r="H908" s="53"/>
    </row>
    <row r="909" spans="5:8" ht="14.25" customHeight="1" x14ac:dyDescent="0.25">
      <c r="E909" s="2"/>
      <c r="H909" s="53"/>
    </row>
    <row r="910" spans="5:8" ht="14.25" customHeight="1" x14ac:dyDescent="0.25">
      <c r="E910" s="2"/>
      <c r="H910" s="53"/>
    </row>
    <row r="911" spans="5:8" ht="14.25" customHeight="1" x14ac:dyDescent="0.25">
      <c r="E911" s="2"/>
      <c r="H911" s="53"/>
    </row>
    <row r="912" spans="5:8" ht="14.25" customHeight="1" x14ac:dyDescent="0.25">
      <c r="E912" s="2"/>
      <c r="H912" s="53"/>
    </row>
    <row r="913" spans="5:8" ht="14.25" customHeight="1" x14ac:dyDescent="0.25">
      <c r="E913" s="2"/>
      <c r="H913" s="53"/>
    </row>
    <row r="914" spans="5:8" ht="14.25" customHeight="1" x14ac:dyDescent="0.25">
      <c r="E914" s="2"/>
      <c r="H914" s="53"/>
    </row>
    <row r="915" spans="5:8" ht="14.25" customHeight="1" x14ac:dyDescent="0.25">
      <c r="E915" s="2"/>
      <c r="H915" s="53"/>
    </row>
    <row r="916" spans="5:8" ht="14.25" customHeight="1" x14ac:dyDescent="0.25">
      <c r="E916" s="2"/>
      <c r="H916" s="53"/>
    </row>
    <row r="917" spans="5:8" ht="14.25" customHeight="1" x14ac:dyDescent="0.25">
      <c r="E917" s="2"/>
      <c r="H917" s="53"/>
    </row>
    <row r="918" spans="5:8" ht="14.25" customHeight="1" x14ac:dyDescent="0.25">
      <c r="E918" s="2"/>
      <c r="H918" s="53"/>
    </row>
    <row r="919" spans="5:8" ht="14.25" customHeight="1" x14ac:dyDescent="0.25">
      <c r="E919" s="2"/>
      <c r="H919" s="53"/>
    </row>
    <row r="920" spans="5:8" ht="14.25" customHeight="1" x14ac:dyDescent="0.25">
      <c r="E920" s="2"/>
      <c r="H920" s="53"/>
    </row>
    <row r="921" spans="5:8" ht="14.25" customHeight="1" x14ac:dyDescent="0.25">
      <c r="E921" s="2"/>
      <c r="H921" s="53"/>
    </row>
    <row r="922" spans="5:8" ht="14.25" customHeight="1" x14ac:dyDescent="0.25">
      <c r="E922" s="2"/>
      <c r="H922" s="53"/>
    </row>
    <row r="923" spans="5:8" ht="14.25" customHeight="1" x14ac:dyDescent="0.25">
      <c r="E923" s="2"/>
      <c r="H923" s="53"/>
    </row>
    <row r="924" spans="5:8" ht="14.25" customHeight="1" x14ac:dyDescent="0.25">
      <c r="E924" s="2"/>
      <c r="H924" s="53"/>
    </row>
    <row r="925" spans="5:8" ht="14.25" customHeight="1" x14ac:dyDescent="0.25">
      <c r="E925" s="2"/>
      <c r="H925" s="53"/>
    </row>
    <row r="926" spans="5:8" ht="14.25" customHeight="1" x14ac:dyDescent="0.25">
      <c r="E926" s="2"/>
      <c r="H926" s="53"/>
    </row>
    <row r="927" spans="5:8" ht="14.25" customHeight="1" x14ac:dyDescent="0.25">
      <c r="E927" s="2"/>
      <c r="H927" s="53"/>
    </row>
    <row r="928" spans="5:8" ht="14.25" customHeight="1" x14ac:dyDescent="0.25">
      <c r="E928" s="2"/>
      <c r="H928" s="53"/>
    </row>
    <row r="929" spans="5:8" ht="14.25" customHeight="1" x14ac:dyDescent="0.25">
      <c r="E929" s="2"/>
      <c r="H929" s="53"/>
    </row>
    <row r="930" spans="5:8" ht="14.25" customHeight="1" x14ac:dyDescent="0.25">
      <c r="E930" s="2"/>
      <c r="H930" s="53"/>
    </row>
    <row r="931" spans="5:8" ht="14.25" customHeight="1" x14ac:dyDescent="0.25">
      <c r="E931" s="2"/>
      <c r="H931" s="53"/>
    </row>
    <row r="932" spans="5:8" ht="14.25" customHeight="1" x14ac:dyDescent="0.25">
      <c r="E932" s="2"/>
      <c r="H932" s="53"/>
    </row>
    <row r="933" spans="5:8" ht="14.25" customHeight="1" x14ac:dyDescent="0.25">
      <c r="E933" s="2"/>
      <c r="H933" s="53"/>
    </row>
    <row r="934" spans="5:8" ht="14.25" customHeight="1" x14ac:dyDescent="0.25">
      <c r="E934" s="2"/>
      <c r="H934" s="53"/>
    </row>
    <row r="935" spans="5:8" ht="14.25" customHeight="1" x14ac:dyDescent="0.25">
      <c r="E935" s="2"/>
      <c r="H935" s="53"/>
    </row>
    <row r="936" spans="5:8" ht="14.25" customHeight="1" x14ac:dyDescent="0.25">
      <c r="E936" s="2"/>
      <c r="H936" s="53"/>
    </row>
    <row r="937" spans="5:8" ht="14.25" customHeight="1" x14ac:dyDescent="0.25">
      <c r="E937" s="2"/>
      <c r="H937" s="53"/>
    </row>
    <row r="938" spans="5:8" ht="14.25" customHeight="1" x14ac:dyDescent="0.25">
      <c r="E938" s="2"/>
      <c r="H938" s="53"/>
    </row>
    <row r="939" spans="5:8" ht="14.25" customHeight="1" x14ac:dyDescent="0.25">
      <c r="E939" s="2"/>
      <c r="H939" s="53"/>
    </row>
    <row r="940" spans="5:8" ht="14.25" customHeight="1" x14ac:dyDescent="0.25">
      <c r="E940" s="2"/>
      <c r="H940" s="53"/>
    </row>
    <row r="941" spans="5:8" ht="14.25" customHeight="1" x14ac:dyDescent="0.25">
      <c r="E941" s="2"/>
      <c r="H941" s="53"/>
    </row>
    <row r="942" spans="5:8" ht="14.25" customHeight="1" x14ac:dyDescent="0.25">
      <c r="E942" s="2"/>
      <c r="H942" s="53"/>
    </row>
    <row r="943" spans="5:8" ht="14.25" customHeight="1" x14ac:dyDescent="0.25">
      <c r="E943" s="2"/>
      <c r="H943" s="53"/>
    </row>
    <row r="944" spans="5:8" ht="14.25" customHeight="1" x14ac:dyDescent="0.25">
      <c r="E944" s="2"/>
      <c r="H944" s="53"/>
    </row>
    <row r="945" spans="5:8" ht="14.25" customHeight="1" x14ac:dyDescent="0.25">
      <c r="E945" s="2"/>
      <c r="H945" s="53"/>
    </row>
    <row r="946" spans="5:8" ht="14.25" customHeight="1" x14ac:dyDescent="0.25">
      <c r="E946" s="2"/>
      <c r="H946" s="53"/>
    </row>
    <row r="947" spans="5:8" ht="14.25" customHeight="1" x14ac:dyDescent="0.25">
      <c r="E947" s="2"/>
      <c r="H947" s="53"/>
    </row>
    <row r="948" spans="5:8" ht="14.25" customHeight="1" x14ac:dyDescent="0.25">
      <c r="E948" s="2"/>
      <c r="H948" s="53"/>
    </row>
    <row r="949" spans="5:8" ht="14.25" customHeight="1" x14ac:dyDescent="0.25">
      <c r="E949" s="2"/>
      <c r="H949" s="53"/>
    </row>
    <row r="950" spans="5:8" ht="14.25" customHeight="1" x14ac:dyDescent="0.25">
      <c r="E950" s="2"/>
      <c r="H950" s="53"/>
    </row>
    <row r="951" spans="5:8" ht="14.25" customHeight="1" x14ac:dyDescent="0.25">
      <c r="E951" s="2"/>
      <c r="H951" s="53"/>
    </row>
    <row r="952" spans="5:8" ht="14.25" customHeight="1" x14ac:dyDescent="0.25">
      <c r="E952" s="2"/>
      <c r="H952" s="53"/>
    </row>
    <row r="953" spans="5:8" ht="14.25" customHeight="1" x14ac:dyDescent="0.25">
      <c r="E953" s="2"/>
      <c r="H953" s="53"/>
    </row>
    <row r="954" spans="5:8" ht="14.25" customHeight="1" x14ac:dyDescent="0.25">
      <c r="E954" s="2"/>
      <c r="H954" s="53"/>
    </row>
    <row r="955" spans="5:8" ht="14.25" customHeight="1" x14ac:dyDescent="0.25">
      <c r="E955" s="2"/>
      <c r="H955" s="53"/>
    </row>
    <row r="956" spans="5:8" ht="14.25" customHeight="1" x14ac:dyDescent="0.25">
      <c r="E956" s="2"/>
      <c r="H956" s="53"/>
    </row>
    <row r="957" spans="5:8" ht="14.25" customHeight="1" x14ac:dyDescent="0.25">
      <c r="E957" s="2"/>
      <c r="H957" s="53"/>
    </row>
    <row r="958" spans="5:8" ht="14.25" customHeight="1" x14ac:dyDescent="0.25">
      <c r="E958" s="2"/>
      <c r="H958" s="53"/>
    </row>
    <row r="959" spans="5:8" ht="14.25" customHeight="1" x14ac:dyDescent="0.25">
      <c r="E959" s="2"/>
      <c r="H959" s="53"/>
    </row>
    <row r="960" spans="5:8" ht="14.25" customHeight="1" x14ac:dyDescent="0.25">
      <c r="E960" s="2"/>
      <c r="H960" s="53"/>
    </row>
    <row r="961" spans="5:8" ht="14.25" customHeight="1" x14ac:dyDescent="0.25">
      <c r="E961" s="2"/>
      <c r="H961" s="53"/>
    </row>
    <row r="962" spans="5:8" ht="14.25" customHeight="1" x14ac:dyDescent="0.25">
      <c r="E962" s="2"/>
      <c r="H962" s="53"/>
    </row>
    <row r="963" spans="5:8" ht="14.25" customHeight="1" x14ac:dyDescent="0.25">
      <c r="E963" s="2"/>
      <c r="H963" s="53"/>
    </row>
    <row r="964" spans="5:8" ht="14.25" customHeight="1" x14ac:dyDescent="0.25">
      <c r="E964" s="2"/>
      <c r="H964" s="53"/>
    </row>
    <row r="965" spans="5:8" ht="14.25" customHeight="1" x14ac:dyDescent="0.25">
      <c r="E965" s="2"/>
      <c r="H965" s="53"/>
    </row>
    <row r="966" spans="5:8" ht="14.25" customHeight="1" x14ac:dyDescent="0.25">
      <c r="E966" s="2"/>
      <c r="H966" s="53"/>
    </row>
    <row r="967" spans="5:8" ht="14.25" customHeight="1" x14ac:dyDescent="0.25">
      <c r="E967" s="2"/>
      <c r="H967" s="53"/>
    </row>
    <row r="968" spans="5:8" ht="14.25" customHeight="1" x14ac:dyDescent="0.25">
      <c r="E968" s="2"/>
      <c r="H968" s="53"/>
    </row>
    <row r="969" spans="5:8" ht="14.25" customHeight="1" x14ac:dyDescent="0.25">
      <c r="E969" s="2"/>
      <c r="H969" s="53"/>
    </row>
    <row r="970" spans="5:8" ht="14.25" customHeight="1" x14ac:dyDescent="0.25">
      <c r="E970" s="2"/>
      <c r="H970" s="53"/>
    </row>
    <row r="971" spans="5:8" ht="14.25" customHeight="1" x14ac:dyDescent="0.25">
      <c r="E971" s="2"/>
      <c r="H971" s="53"/>
    </row>
    <row r="972" spans="5:8" ht="14.25" customHeight="1" x14ac:dyDescent="0.25">
      <c r="E972" s="2"/>
      <c r="H972" s="53"/>
    </row>
    <row r="973" spans="5:8" ht="14.25" customHeight="1" x14ac:dyDescent="0.25">
      <c r="E973" s="2"/>
      <c r="H973" s="53"/>
    </row>
    <row r="974" spans="5:8" ht="14.25" customHeight="1" x14ac:dyDescent="0.25">
      <c r="E974" s="2"/>
      <c r="H974" s="53"/>
    </row>
    <row r="975" spans="5:8" ht="14.25" customHeight="1" x14ac:dyDescent="0.25">
      <c r="E975" s="2"/>
      <c r="H975" s="53"/>
    </row>
    <row r="976" spans="5:8" ht="14.25" customHeight="1" x14ac:dyDescent="0.25">
      <c r="E976" s="2"/>
      <c r="H976" s="53"/>
    </row>
    <row r="977" spans="5:8" ht="14.25" customHeight="1" x14ac:dyDescent="0.25">
      <c r="E977" s="2"/>
      <c r="H977" s="53"/>
    </row>
    <row r="978" spans="5:8" ht="14.25" customHeight="1" x14ac:dyDescent="0.25">
      <c r="E978" s="2"/>
      <c r="H978" s="53"/>
    </row>
    <row r="979" spans="5:8" ht="14.25" customHeight="1" x14ac:dyDescent="0.25">
      <c r="E979" s="2"/>
      <c r="H979" s="53"/>
    </row>
    <row r="980" spans="5:8" ht="14.25" customHeight="1" x14ac:dyDescent="0.25">
      <c r="E980" s="2"/>
      <c r="H980" s="53"/>
    </row>
    <row r="981" spans="5:8" ht="14.25" customHeight="1" x14ac:dyDescent="0.25">
      <c r="E981" s="2"/>
      <c r="H981" s="53"/>
    </row>
    <row r="982" spans="5:8" ht="14.25" customHeight="1" x14ac:dyDescent="0.25">
      <c r="E982" s="2"/>
      <c r="H982" s="53"/>
    </row>
    <row r="983" spans="5:8" ht="14.25" customHeight="1" x14ac:dyDescent="0.25">
      <c r="E983" s="2"/>
      <c r="H983" s="53"/>
    </row>
    <row r="984" spans="5:8" ht="14.25" customHeight="1" x14ac:dyDescent="0.25">
      <c r="E984" s="2"/>
      <c r="H984" s="53"/>
    </row>
    <row r="985" spans="5:8" ht="14.25" customHeight="1" x14ac:dyDescent="0.25">
      <c r="E985" s="2"/>
      <c r="H985" s="53"/>
    </row>
    <row r="986" spans="5:8" ht="14.25" customHeight="1" x14ac:dyDescent="0.25">
      <c r="E986" s="2"/>
      <c r="H986" s="53"/>
    </row>
    <row r="987" spans="5:8" ht="14.25" customHeight="1" x14ac:dyDescent="0.25">
      <c r="E987" s="2"/>
      <c r="H987" s="53"/>
    </row>
    <row r="988" spans="5:8" ht="14.25" customHeight="1" x14ac:dyDescent="0.25">
      <c r="E988" s="2"/>
      <c r="H988" s="53"/>
    </row>
    <row r="989" spans="5:8" ht="14.25" customHeight="1" x14ac:dyDescent="0.25">
      <c r="E989" s="2"/>
      <c r="H989" s="53"/>
    </row>
    <row r="990" spans="5:8" ht="14.25" customHeight="1" x14ac:dyDescent="0.25">
      <c r="E990" s="2"/>
      <c r="H990" s="53"/>
    </row>
    <row r="991" spans="5:8" ht="14.25" customHeight="1" x14ac:dyDescent="0.25">
      <c r="E991" s="2"/>
      <c r="H991" s="53"/>
    </row>
    <row r="992" spans="5:8" ht="14.25" customHeight="1" x14ac:dyDescent="0.25">
      <c r="E992" s="2"/>
      <c r="H992" s="53"/>
    </row>
    <row r="993" spans="5:8" ht="14.25" customHeight="1" x14ac:dyDescent="0.25">
      <c r="E993" s="2"/>
      <c r="H993" s="53"/>
    </row>
    <row r="994" spans="5:8" ht="14.25" customHeight="1" x14ac:dyDescent="0.25">
      <c r="E994" s="2"/>
      <c r="H994" s="53"/>
    </row>
    <row r="995" spans="5:8" ht="14.25" customHeight="1" x14ac:dyDescent="0.25">
      <c r="E995" s="2"/>
      <c r="H995" s="53"/>
    </row>
    <row r="996" spans="5:8" ht="14.25" customHeight="1" x14ac:dyDescent="0.25">
      <c r="E996" s="2"/>
      <c r="H996" s="53"/>
    </row>
    <row r="997" spans="5:8" ht="14.25" customHeight="1" x14ac:dyDescent="0.25">
      <c r="E997" s="2"/>
      <c r="H997" s="53"/>
    </row>
  </sheetData>
  <mergeCells count="101">
    <mergeCell ref="A44:A45"/>
    <mergeCell ref="B44:C45"/>
    <mergeCell ref="H44:H45"/>
    <mergeCell ref="A56:C56"/>
    <mergeCell ref="I56:J56"/>
    <mergeCell ref="A32:C32"/>
    <mergeCell ref="D32:F32"/>
    <mergeCell ref="A48:C48"/>
    <mergeCell ref="A50:C50"/>
    <mergeCell ref="H50:L50"/>
    <mergeCell ref="A51:C51"/>
    <mergeCell ref="H51:L51"/>
    <mergeCell ref="A46:C46"/>
    <mergeCell ref="A38:A39"/>
    <mergeCell ref="B38:C39"/>
    <mergeCell ref="A40:A41"/>
    <mergeCell ref="B40:C41"/>
    <mergeCell ref="D55:I55"/>
    <mergeCell ref="H38:H39"/>
    <mergeCell ref="K56:L56"/>
    <mergeCell ref="D53:I53"/>
    <mergeCell ref="D38:D39"/>
    <mergeCell ref="E38:E39"/>
    <mergeCell ref="F38:F39"/>
    <mergeCell ref="K35:L35"/>
    <mergeCell ref="D54:I54"/>
    <mergeCell ref="K36:L36"/>
    <mergeCell ref="K31:L31"/>
    <mergeCell ref="J20:J21"/>
    <mergeCell ref="G44:G45"/>
    <mergeCell ref="I44:I45"/>
    <mergeCell ref="J44:J45"/>
    <mergeCell ref="K44:K45"/>
    <mergeCell ref="D24:D25"/>
    <mergeCell ref="K32:L32"/>
    <mergeCell ref="D33:F33"/>
    <mergeCell ref="K33:L33"/>
    <mergeCell ref="G31:J34"/>
    <mergeCell ref="D31:F31"/>
    <mergeCell ref="L44:L45"/>
    <mergeCell ref="G20:G21"/>
    <mergeCell ref="I20:I21"/>
    <mergeCell ref="I40:I41"/>
    <mergeCell ref="D34:F34"/>
    <mergeCell ref="L42:L43"/>
    <mergeCell ref="K29:L30"/>
    <mergeCell ref="A2:L2"/>
    <mergeCell ref="A3:L3"/>
    <mergeCell ref="A4:L4"/>
    <mergeCell ref="A5:L5"/>
    <mergeCell ref="A6:L6"/>
    <mergeCell ref="K34:L34"/>
    <mergeCell ref="B22:C22"/>
    <mergeCell ref="A26:C26"/>
    <mergeCell ref="E26:G26"/>
    <mergeCell ref="A29:C30"/>
    <mergeCell ref="D29:F30"/>
    <mergeCell ref="G29:J30"/>
    <mergeCell ref="A31:C31"/>
    <mergeCell ref="E24:G25"/>
    <mergeCell ref="H24:H25"/>
    <mergeCell ref="L20:L21"/>
    <mergeCell ref="K20:K21"/>
    <mergeCell ref="J18:J19"/>
    <mergeCell ref="K18:K19"/>
    <mergeCell ref="L18:L19"/>
    <mergeCell ref="I18:I19"/>
    <mergeCell ref="G18:G19"/>
    <mergeCell ref="B20:C21"/>
    <mergeCell ref="A20:A21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18:A19"/>
    <mergeCell ref="B18:C19"/>
    <mergeCell ref="A24:A25"/>
    <mergeCell ref="B24:C25"/>
    <mergeCell ref="A33:C33"/>
    <mergeCell ref="A34:C34"/>
    <mergeCell ref="H40:H41"/>
    <mergeCell ref="H18:H19"/>
    <mergeCell ref="H20:H21"/>
    <mergeCell ref="G38:G39"/>
    <mergeCell ref="G40:G41"/>
    <mergeCell ref="L40:L41"/>
    <mergeCell ref="K42:K43"/>
    <mergeCell ref="A42:A43"/>
    <mergeCell ref="B42:C43"/>
    <mergeCell ref="I42:I43"/>
    <mergeCell ref="J42:J43"/>
    <mergeCell ref="F42:F43"/>
    <mergeCell ref="H42:H43"/>
    <mergeCell ref="J40:J41"/>
    <mergeCell ref="K40:K41"/>
  </mergeCells>
  <pageMargins left="0.5" right="0.25" top="0.25" bottom="0.25" header="0" footer="0"/>
  <pageSetup paperSize="5" scale="8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1002"/>
  <sheetViews>
    <sheetView topLeftCell="A34" zoomScale="85" zoomScaleNormal="85" workbookViewId="0">
      <selection activeCell="A47" sqref="A47:K48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62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8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8" s="86" customFormat="1" x14ac:dyDescent="0.25">
      <c r="A18" s="578" t="s">
        <v>124</v>
      </c>
      <c r="B18" s="678" t="s">
        <v>125</v>
      </c>
      <c r="C18" s="678"/>
      <c r="D18" s="126" t="s">
        <v>50</v>
      </c>
      <c r="E18" s="127" t="s">
        <v>81</v>
      </c>
      <c r="F18" s="566" t="s">
        <v>176</v>
      </c>
      <c r="G18" s="394" t="s">
        <v>110</v>
      </c>
      <c r="H18" s="566">
        <v>40</v>
      </c>
      <c r="I18" s="566">
        <v>2</v>
      </c>
      <c r="J18" s="566">
        <v>1</v>
      </c>
      <c r="K18" s="566">
        <v>3</v>
      </c>
      <c r="L18" s="580">
        <v>5</v>
      </c>
    </row>
    <row r="19" spans="1:18" s="86" customFormat="1" x14ac:dyDescent="0.25">
      <c r="A19" s="511"/>
      <c r="B19" s="679"/>
      <c r="C19" s="679"/>
      <c r="D19" s="401" t="s">
        <v>28</v>
      </c>
      <c r="E19" s="189" t="s">
        <v>92</v>
      </c>
      <c r="F19" s="513"/>
      <c r="G19" s="390">
        <v>20</v>
      </c>
      <c r="H19" s="513"/>
      <c r="I19" s="513"/>
      <c r="J19" s="513"/>
      <c r="K19" s="513"/>
      <c r="L19" s="514"/>
    </row>
    <row r="20" spans="1:18" s="86" customFormat="1" x14ac:dyDescent="0.25">
      <c r="A20" s="511" t="s">
        <v>124</v>
      </c>
      <c r="B20" s="679" t="s">
        <v>125</v>
      </c>
      <c r="C20" s="679"/>
      <c r="D20" s="113" t="s">
        <v>27</v>
      </c>
      <c r="E20" s="114" t="s">
        <v>79</v>
      </c>
      <c r="F20" s="513" t="s">
        <v>174</v>
      </c>
      <c r="G20" s="390" t="s">
        <v>110</v>
      </c>
      <c r="H20" s="513">
        <v>40</v>
      </c>
      <c r="I20" s="513">
        <v>2</v>
      </c>
      <c r="J20" s="513">
        <v>1</v>
      </c>
      <c r="K20" s="513">
        <v>3</v>
      </c>
      <c r="L20" s="514">
        <v>5</v>
      </c>
    </row>
    <row r="21" spans="1:18" s="270" customFormat="1" x14ac:dyDescent="0.25">
      <c r="A21" s="511"/>
      <c r="B21" s="679"/>
      <c r="C21" s="679"/>
      <c r="D21" s="113" t="s">
        <v>27</v>
      </c>
      <c r="E21" s="114" t="s">
        <v>87</v>
      </c>
      <c r="F21" s="513"/>
      <c r="G21" s="390">
        <v>20</v>
      </c>
      <c r="H21" s="513"/>
      <c r="I21" s="513"/>
      <c r="J21" s="513"/>
      <c r="K21" s="513"/>
      <c r="L21" s="514"/>
    </row>
    <row r="22" spans="1:18" s="304" customFormat="1" x14ac:dyDescent="0.25">
      <c r="A22" s="511" t="s">
        <v>124</v>
      </c>
      <c r="B22" s="623" t="s">
        <v>125</v>
      </c>
      <c r="C22" s="623"/>
      <c r="D22" s="113" t="s">
        <v>38</v>
      </c>
      <c r="E22" s="114" t="s">
        <v>79</v>
      </c>
      <c r="F22" s="513" t="s">
        <v>175</v>
      </c>
      <c r="G22" s="390" t="s">
        <v>110</v>
      </c>
      <c r="H22" s="513">
        <v>40</v>
      </c>
      <c r="I22" s="513">
        <v>2</v>
      </c>
      <c r="J22" s="513">
        <v>1</v>
      </c>
      <c r="K22" s="513">
        <v>3</v>
      </c>
      <c r="L22" s="514">
        <v>5</v>
      </c>
    </row>
    <row r="23" spans="1:18" s="385" customFormat="1" x14ac:dyDescent="0.25">
      <c r="A23" s="511"/>
      <c r="B23" s="623"/>
      <c r="C23" s="623"/>
      <c r="D23" s="113" t="s">
        <v>27</v>
      </c>
      <c r="E23" s="114" t="s">
        <v>140</v>
      </c>
      <c r="F23" s="513"/>
      <c r="G23" s="390">
        <v>20</v>
      </c>
      <c r="H23" s="513"/>
      <c r="I23" s="513"/>
      <c r="J23" s="513"/>
      <c r="K23" s="513"/>
      <c r="L23" s="514"/>
    </row>
    <row r="24" spans="1:18" s="385" customFormat="1" x14ac:dyDescent="0.25">
      <c r="A24" s="674" t="s">
        <v>133</v>
      </c>
      <c r="B24" s="675" t="s">
        <v>132</v>
      </c>
      <c r="C24" s="675"/>
      <c r="D24" s="224" t="s">
        <v>38</v>
      </c>
      <c r="E24" s="225" t="s">
        <v>92</v>
      </c>
      <c r="F24" s="397" t="s">
        <v>110</v>
      </c>
      <c r="G24" s="676" t="s">
        <v>178</v>
      </c>
      <c r="H24" s="676">
        <v>40</v>
      </c>
      <c r="I24" s="676">
        <v>2</v>
      </c>
      <c r="J24" s="676">
        <v>1</v>
      </c>
      <c r="K24" s="676">
        <v>3</v>
      </c>
      <c r="L24" s="677">
        <v>5</v>
      </c>
    </row>
    <row r="25" spans="1:18" s="385" customFormat="1" ht="24" customHeight="1" x14ac:dyDescent="0.25">
      <c r="A25" s="674"/>
      <c r="B25" s="675"/>
      <c r="C25" s="675"/>
      <c r="D25" s="224" t="s">
        <v>50</v>
      </c>
      <c r="E25" s="225" t="s">
        <v>88</v>
      </c>
      <c r="F25" s="397" t="s">
        <v>86</v>
      </c>
      <c r="G25" s="676"/>
      <c r="H25" s="676"/>
      <c r="I25" s="676"/>
      <c r="J25" s="676"/>
      <c r="K25" s="676"/>
      <c r="L25" s="677"/>
    </row>
    <row r="26" spans="1:18" s="385" customFormat="1" x14ac:dyDescent="0.25">
      <c r="A26" s="554" t="s">
        <v>133</v>
      </c>
      <c r="B26" s="555" t="s">
        <v>132</v>
      </c>
      <c r="C26" s="555"/>
      <c r="D26" s="402" t="s">
        <v>50</v>
      </c>
      <c r="E26" s="120" t="s">
        <v>230</v>
      </c>
      <c r="F26" s="392" t="s">
        <v>229</v>
      </c>
      <c r="G26" s="553" t="s">
        <v>199</v>
      </c>
      <c r="H26" s="673">
        <v>40</v>
      </c>
      <c r="I26" s="553">
        <v>2</v>
      </c>
      <c r="J26" s="553">
        <v>1</v>
      </c>
      <c r="K26" s="553">
        <v>3</v>
      </c>
      <c r="L26" s="556">
        <v>1</v>
      </c>
    </row>
    <row r="27" spans="1:18" s="200" customFormat="1" ht="15.75" thickBot="1" x14ac:dyDescent="0.3">
      <c r="A27" s="606"/>
      <c r="B27" s="670"/>
      <c r="C27" s="670"/>
      <c r="D27" s="159" t="s">
        <v>187</v>
      </c>
      <c r="E27" s="160" t="s">
        <v>231</v>
      </c>
      <c r="F27" s="393" t="s">
        <v>102</v>
      </c>
      <c r="G27" s="605"/>
      <c r="H27" s="680"/>
      <c r="I27" s="605"/>
      <c r="J27" s="605"/>
      <c r="K27" s="605"/>
      <c r="L27" s="609"/>
      <c r="R27" s="200" t="s">
        <v>196</v>
      </c>
    </row>
    <row r="28" spans="1:18" ht="14.25" customHeight="1" x14ac:dyDescent="0.25">
      <c r="A28" s="305"/>
      <c r="B28" s="438"/>
      <c r="C28" s="438"/>
      <c r="D28" s="305"/>
      <c r="E28" s="134" t="s">
        <v>29</v>
      </c>
      <c r="F28" s="141"/>
      <c r="G28" s="141"/>
      <c r="H28" s="182"/>
      <c r="I28" s="143"/>
      <c r="J28" s="143"/>
      <c r="K28" s="234">
        <f>SUM(K18:K27)</f>
        <v>15</v>
      </c>
      <c r="L28" s="234">
        <f>SUM(L18:L27)</f>
        <v>21</v>
      </c>
    </row>
    <row r="29" spans="1:18" ht="14.25" customHeight="1" thickBot="1" x14ac:dyDescent="0.3">
      <c r="A29" s="193" t="s">
        <v>30</v>
      </c>
      <c r="B29" s="165"/>
      <c r="C29" s="202"/>
      <c r="D29" s="202"/>
      <c r="E29" s="138"/>
      <c r="F29" s="202"/>
      <c r="G29" s="202"/>
      <c r="H29" s="183"/>
      <c r="I29" s="202"/>
      <c r="J29" s="202"/>
      <c r="K29" s="202"/>
      <c r="L29" s="202"/>
    </row>
    <row r="30" spans="1:18" ht="14.25" customHeight="1" x14ac:dyDescent="0.25">
      <c r="A30" s="485" t="s">
        <v>13</v>
      </c>
      <c r="B30" s="487" t="s">
        <v>14</v>
      </c>
      <c r="C30" s="488"/>
      <c r="D30" s="487" t="s">
        <v>15</v>
      </c>
      <c r="E30" s="487" t="s">
        <v>16</v>
      </c>
      <c r="F30" s="488"/>
      <c r="G30" s="488"/>
      <c r="H30" s="441" t="s">
        <v>19</v>
      </c>
      <c r="I30" s="204" t="s">
        <v>20</v>
      </c>
      <c r="J30" s="204" t="s">
        <v>20</v>
      </c>
      <c r="K30" s="204" t="s">
        <v>21</v>
      </c>
      <c r="L30" s="241" t="s">
        <v>22</v>
      </c>
    </row>
    <row r="31" spans="1:18" ht="14.25" customHeight="1" x14ac:dyDescent="0.25">
      <c r="A31" s="504"/>
      <c r="B31" s="505"/>
      <c r="C31" s="505"/>
      <c r="D31" s="505"/>
      <c r="E31" s="505"/>
      <c r="F31" s="505"/>
      <c r="G31" s="505"/>
      <c r="H31" s="506"/>
      <c r="I31" s="240" t="s">
        <v>23</v>
      </c>
      <c r="J31" s="240" t="s">
        <v>24</v>
      </c>
      <c r="K31" s="240" t="s">
        <v>25</v>
      </c>
      <c r="L31" s="242" t="s">
        <v>26</v>
      </c>
    </row>
    <row r="32" spans="1:18" ht="14.25" customHeight="1" thickBot="1" x14ac:dyDescent="0.3">
      <c r="A32" s="611"/>
      <c r="B32" s="489"/>
      <c r="C32" s="489"/>
      <c r="D32" s="205"/>
      <c r="E32" s="489"/>
      <c r="F32" s="489"/>
      <c r="G32" s="489"/>
      <c r="H32" s="203"/>
      <c r="I32" s="205"/>
      <c r="J32" s="205"/>
      <c r="K32" s="205"/>
      <c r="L32" s="250"/>
    </row>
    <row r="33" spans="1:12" ht="14.25" customHeight="1" x14ac:dyDescent="0.25">
      <c r="D33" s="10" t="s">
        <v>31</v>
      </c>
      <c r="E33" s="17"/>
      <c r="F33" s="11"/>
      <c r="G33" s="11"/>
      <c r="H33" s="173"/>
      <c r="I33" s="11"/>
      <c r="K33" s="32">
        <f t="shared" ref="K33:L33" si="0">SUM(K32)</f>
        <v>0</v>
      </c>
      <c r="L33" s="32">
        <f t="shared" si="0"/>
        <v>0</v>
      </c>
    </row>
    <row r="34" spans="1:12" ht="14.25" customHeight="1" thickBot="1" x14ac:dyDescent="0.3">
      <c r="A34" s="7" t="s">
        <v>32</v>
      </c>
      <c r="B34" s="18"/>
      <c r="C34" s="19"/>
      <c r="D34" s="19"/>
      <c r="E34" s="2"/>
      <c r="F34" s="19"/>
      <c r="G34" s="19"/>
      <c r="H34" s="175"/>
      <c r="I34" s="19"/>
      <c r="J34" s="19"/>
      <c r="K34" s="19"/>
      <c r="L34" s="19"/>
    </row>
    <row r="35" spans="1:12" ht="14.25" customHeight="1" x14ac:dyDescent="0.25">
      <c r="A35" s="492" t="s">
        <v>15</v>
      </c>
      <c r="B35" s="493"/>
      <c r="C35" s="494"/>
      <c r="D35" s="480" t="s">
        <v>16</v>
      </c>
      <c r="E35" s="493"/>
      <c r="F35" s="494"/>
      <c r="G35" s="480" t="s">
        <v>33</v>
      </c>
      <c r="H35" s="493"/>
      <c r="I35" s="493"/>
      <c r="J35" s="494"/>
      <c r="K35" s="480" t="s">
        <v>34</v>
      </c>
      <c r="L35" s="481"/>
    </row>
    <row r="36" spans="1:12" ht="14.25" customHeight="1" x14ac:dyDescent="0.25">
      <c r="A36" s="495"/>
      <c r="B36" s="437"/>
      <c r="C36" s="472"/>
      <c r="D36" s="482"/>
      <c r="E36" s="437"/>
      <c r="F36" s="472"/>
      <c r="G36" s="482"/>
      <c r="H36" s="437"/>
      <c r="I36" s="437"/>
      <c r="J36" s="472"/>
      <c r="K36" s="482"/>
      <c r="L36" s="475"/>
    </row>
    <row r="37" spans="1:12" ht="14.25" customHeight="1" x14ac:dyDescent="0.25">
      <c r="A37" s="471" t="s">
        <v>49</v>
      </c>
      <c r="B37" s="437"/>
      <c r="C37" s="472"/>
      <c r="D37" s="473" t="s">
        <v>225</v>
      </c>
      <c r="E37" s="437"/>
      <c r="F37" s="472"/>
      <c r="G37" s="462" t="s">
        <v>75</v>
      </c>
      <c r="H37" s="463"/>
      <c r="I37" s="463"/>
      <c r="J37" s="464"/>
      <c r="K37" s="474">
        <v>6</v>
      </c>
      <c r="L37" s="475"/>
    </row>
    <row r="38" spans="1:12" s="79" customFormat="1" ht="14.25" customHeight="1" x14ac:dyDescent="0.25">
      <c r="A38" s="476" t="s">
        <v>28</v>
      </c>
      <c r="B38" s="453"/>
      <c r="C38" s="477"/>
      <c r="D38" s="539" t="s">
        <v>232</v>
      </c>
      <c r="E38" s="453"/>
      <c r="F38" s="477"/>
      <c r="G38" s="465"/>
      <c r="H38" s="466"/>
      <c r="I38" s="466"/>
      <c r="J38" s="467"/>
      <c r="K38" s="478">
        <v>2</v>
      </c>
      <c r="L38" s="479"/>
    </row>
    <row r="39" spans="1:12" s="79" customFormat="1" ht="14.25" customHeight="1" x14ac:dyDescent="0.25">
      <c r="A39" s="476" t="s">
        <v>27</v>
      </c>
      <c r="B39" s="453"/>
      <c r="C39" s="477"/>
      <c r="D39" s="473" t="s">
        <v>226</v>
      </c>
      <c r="E39" s="437"/>
      <c r="F39" s="472"/>
      <c r="G39" s="465"/>
      <c r="H39" s="466"/>
      <c r="I39" s="466"/>
      <c r="J39" s="467"/>
      <c r="K39" s="478">
        <v>6</v>
      </c>
      <c r="L39" s="479"/>
    </row>
    <row r="40" spans="1:12" ht="14.25" customHeight="1" x14ac:dyDescent="0.25">
      <c r="A40" s="476" t="s">
        <v>38</v>
      </c>
      <c r="B40" s="453"/>
      <c r="C40" s="477"/>
      <c r="D40" s="539" t="s">
        <v>74</v>
      </c>
      <c r="E40" s="453"/>
      <c r="F40" s="477"/>
      <c r="G40" s="465"/>
      <c r="H40" s="466"/>
      <c r="I40" s="466"/>
      <c r="J40" s="467"/>
      <c r="K40" s="478">
        <v>1</v>
      </c>
      <c r="L40" s="479"/>
    </row>
    <row r="41" spans="1:12" ht="13.5" customHeight="1" thickBot="1" x14ac:dyDescent="0.3">
      <c r="A41" s="454" t="s">
        <v>38</v>
      </c>
      <c r="B41" s="455"/>
      <c r="C41" s="456"/>
      <c r="D41" s="542" t="s">
        <v>233</v>
      </c>
      <c r="E41" s="455"/>
      <c r="F41" s="456"/>
      <c r="G41" s="468"/>
      <c r="H41" s="469"/>
      <c r="I41" s="469"/>
      <c r="J41" s="470"/>
      <c r="K41" s="460">
        <v>4</v>
      </c>
      <c r="L41" s="461"/>
    </row>
    <row r="42" spans="1:12" ht="14.25" customHeight="1" x14ac:dyDescent="0.25">
      <c r="A42" s="56"/>
      <c r="B42" s="56"/>
      <c r="C42" s="56"/>
      <c r="D42" s="10" t="s">
        <v>35</v>
      </c>
      <c r="E42" s="17"/>
      <c r="F42" s="11"/>
      <c r="G42" s="11"/>
      <c r="H42" s="173"/>
      <c r="I42" s="11"/>
      <c r="J42" s="20"/>
      <c r="K42" s="451">
        <f>SUM(K37:L41)</f>
        <v>19</v>
      </c>
      <c r="L42" s="437"/>
    </row>
    <row r="43" spans="1:12" x14ac:dyDescent="0.25">
      <c r="A43" s="56"/>
      <c r="B43" s="56"/>
      <c r="C43" s="56"/>
      <c r="D43" s="10" t="s">
        <v>36</v>
      </c>
      <c r="E43" s="17"/>
      <c r="F43" s="11"/>
      <c r="G43" s="11"/>
      <c r="H43" s="173"/>
      <c r="I43" s="11"/>
      <c r="K43" s="452">
        <f>L28+L33+K42</f>
        <v>40</v>
      </c>
      <c r="L43" s="453"/>
    </row>
    <row r="44" spans="1:12" ht="17.25" thickBot="1" x14ac:dyDescent="0.3">
      <c r="A44" s="7" t="s">
        <v>37</v>
      </c>
      <c r="B44" s="19"/>
      <c r="D44" s="21"/>
      <c r="E44" s="22"/>
      <c r="F44" s="21"/>
      <c r="G44" s="21"/>
      <c r="H44" s="176"/>
      <c r="I44" s="21"/>
      <c r="J44" s="21"/>
      <c r="K44" s="23"/>
      <c r="L44" s="24"/>
    </row>
    <row r="45" spans="1:12" x14ac:dyDescent="0.25">
      <c r="A45" s="446" t="s">
        <v>13</v>
      </c>
      <c r="B45" s="448" t="s">
        <v>14</v>
      </c>
      <c r="C45" s="565"/>
      <c r="D45" s="448" t="s">
        <v>15</v>
      </c>
      <c r="E45" s="448" t="s">
        <v>16</v>
      </c>
      <c r="F45" s="448" t="s">
        <v>17</v>
      </c>
      <c r="G45" s="448" t="s">
        <v>18</v>
      </c>
      <c r="H45" s="441" t="s">
        <v>19</v>
      </c>
      <c r="I45" s="49" t="s">
        <v>20</v>
      </c>
      <c r="J45" s="49" t="s">
        <v>20</v>
      </c>
      <c r="K45" s="49" t="s">
        <v>21</v>
      </c>
      <c r="L45" s="50" t="s">
        <v>22</v>
      </c>
    </row>
    <row r="46" spans="1:12" ht="15.75" thickBot="1" x14ac:dyDescent="0.3">
      <c r="A46" s="655"/>
      <c r="B46" s="650"/>
      <c r="C46" s="650"/>
      <c r="D46" s="650"/>
      <c r="E46" s="650"/>
      <c r="F46" s="650"/>
      <c r="G46" s="650"/>
      <c r="H46" s="650"/>
      <c r="I46" s="51" t="s">
        <v>23</v>
      </c>
      <c r="J46" s="51" t="s">
        <v>24</v>
      </c>
      <c r="K46" s="51" t="s">
        <v>25</v>
      </c>
      <c r="L46" s="52" t="s">
        <v>26</v>
      </c>
    </row>
    <row r="47" spans="1:12" s="338" customFormat="1" x14ac:dyDescent="0.25">
      <c r="A47" s="681" t="s">
        <v>133</v>
      </c>
      <c r="B47" s="682" t="s">
        <v>132</v>
      </c>
      <c r="C47" s="682"/>
      <c r="D47" s="404" t="s">
        <v>50</v>
      </c>
      <c r="E47" s="192" t="s">
        <v>230</v>
      </c>
      <c r="F47" s="427" t="s">
        <v>229</v>
      </c>
      <c r="G47" s="669" t="s">
        <v>199</v>
      </c>
      <c r="H47" s="672">
        <v>40</v>
      </c>
      <c r="I47" s="669">
        <v>2</v>
      </c>
      <c r="J47" s="669">
        <v>1</v>
      </c>
      <c r="K47" s="669">
        <v>3</v>
      </c>
      <c r="L47" s="671">
        <v>4</v>
      </c>
    </row>
    <row r="48" spans="1:12" s="338" customFormat="1" x14ac:dyDescent="0.25">
      <c r="A48" s="554"/>
      <c r="B48" s="555"/>
      <c r="C48" s="555"/>
      <c r="D48" s="119" t="s">
        <v>187</v>
      </c>
      <c r="E48" s="120" t="s">
        <v>231</v>
      </c>
      <c r="F48" s="417" t="s">
        <v>102</v>
      </c>
      <c r="G48" s="553"/>
      <c r="H48" s="673"/>
      <c r="I48" s="553"/>
      <c r="J48" s="553"/>
      <c r="K48" s="553"/>
      <c r="L48" s="556"/>
    </row>
    <row r="49" spans="1:12" s="407" customFormat="1" ht="18.75" customHeight="1" x14ac:dyDescent="0.25">
      <c r="A49" s="411" t="s">
        <v>124</v>
      </c>
      <c r="B49" s="792" t="s">
        <v>191</v>
      </c>
      <c r="C49" s="792"/>
      <c r="D49" s="763" t="s">
        <v>97</v>
      </c>
      <c r="E49" s="114" t="s">
        <v>190</v>
      </c>
      <c r="F49" s="413" t="s">
        <v>110</v>
      </c>
      <c r="G49" s="423" t="s">
        <v>298</v>
      </c>
      <c r="H49" s="413">
        <v>40</v>
      </c>
      <c r="I49" s="413">
        <v>4</v>
      </c>
      <c r="J49" s="413">
        <v>4</v>
      </c>
      <c r="K49" s="413">
        <v>4</v>
      </c>
      <c r="L49" s="415">
        <v>4</v>
      </c>
    </row>
    <row r="50" spans="1:12" s="338" customFormat="1" ht="27" customHeight="1" thickBot="1" x14ac:dyDescent="0.3">
      <c r="A50" s="255" t="s">
        <v>131</v>
      </c>
      <c r="B50" s="721" t="s">
        <v>153</v>
      </c>
      <c r="C50" s="721"/>
      <c r="D50" s="211" t="s">
        <v>95</v>
      </c>
      <c r="E50" s="83" t="s">
        <v>167</v>
      </c>
      <c r="F50" s="209" t="s">
        <v>80</v>
      </c>
      <c r="G50" s="209" t="s">
        <v>169</v>
      </c>
      <c r="H50" s="209">
        <v>40</v>
      </c>
      <c r="I50" s="209">
        <v>3</v>
      </c>
      <c r="J50" s="209">
        <v>0</v>
      </c>
      <c r="K50" s="209">
        <v>3</v>
      </c>
      <c r="L50" s="212">
        <v>3</v>
      </c>
    </row>
    <row r="51" spans="1:12" x14ac:dyDescent="0.25">
      <c r="A51" s="438"/>
      <c r="B51" s="439"/>
      <c r="C51" s="439"/>
      <c r="D51" s="134" t="s">
        <v>39</v>
      </c>
      <c r="E51" s="153"/>
      <c r="F51" s="137"/>
      <c r="G51" s="137"/>
      <c r="H51" s="187"/>
      <c r="I51" s="137"/>
      <c r="J51" s="137"/>
      <c r="K51" s="266">
        <f>SUM(K47:K50)</f>
        <v>10</v>
      </c>
      <c r="L51" s="206">
        <f>SUM(L47:L50)</f>
        <v>11</v>
      </c>
    </row>
    <row r="52" spans="1:12" x14ac:dyDescent="0.25">
      <c r="A52" s="133"/>
      <c r="B52" s="133"/>
      <c r="C52" s="133"/>
      <c r="D52" s="134" t="s">
        <v>40</v>
      </c>
      <c r="E52" s="135"/>
      <c r="F52" s="136"/>
      <c r="G52" s="136"/>
      <c r="H52" s="185"/>
      <c r="I52" s="136"/>
      <c r="J52" s="136"/>
      <c r="K52" s="206">
        <f>SUM(K28,K33,K51)</f>
        <v>25</v>
      </c>
      <c r="L52" s="206">
        <f>(L28+L33+K42+L51)</f>
        <v>51</v>
      </c>
    </row>
    <row r="53" spans="1:12" s="321" customFormat="1" x14ac:dyDescent="0.25">
      <c r="A53" s="133"/>
      <c r="B53" s="133"/>
      <c r="C53" s="133"/>
      <c r="D53" s="134"/>
      <c r="E53" s="135"/>
      <c r="F53" s="136"/>
      <c r="G53" s="136"/>
      <c r="H53" s="185"/>
      <c r="I53" s="136"/>
      <c r="J53" s="136"/>
      <c r="K53" s="266"/>
      <c r="L53" s="266"/>
    </row>
    <row r="54" spans="1:12" ht="16.5" x14ac:dyDescent="0.3">
      <c r="A54" s="440" t="s">
        <v>41</v>
      </c>
      <c r="B54" s="431"/>
      <c r="C54" s="431"/>
      <c r="D54" s="27"/>
      <c r="E54" s="27"/>
      <c r="F54" s="27"/>
      <c r="G54" s="27"/>
      <c r="H54" s="178" t="s">
        <v>42</v>
      </c>
      <c r="I54" s="6"/>
      <c r="J54" s="6"/>
      <c r="K54" s="6"/>
      <c r="L54" s="5"/>
    </row>
    <row r="55" spans="1:12" x14ac:dyDescent="0.25">
      <c r="A55" s="28"/>
      <c r="B55" s="28"/>
      <c r="C55" s="28"/>
      <c r="D55" s="20"/>
      <c r="E55" s="2"/>
      <c r="F55" s="20"/>
      <c r="G55" s="20"/>
      <c r="H55" s="179"/>
      <c r="I55" s="28"/>
      <c r="J55" s="28"/>
      <c r="K55" s="28"/>
      <c r="L55" s="28"/>
    </row>
    <row r="56" spans="1:12" x14ac:dyDescent="0.25">
      <c r="A56" s="432" t="s">
        <v>43</v>
      </c>
      <c r="B56" s="431"/>
      <c r="C56" s="431"/>
      <c r="D56" s="27"/>
      <c r="E56" s="27"/>
      <c r="F56" s="27"/>
      <c r="G56" s="27"/>
      <c r="H56" s="433" t="s">
        <v>44</v>
      </c>
      <c r="I56" s="434"/>
      <c r="J56" s="434"/>
      <c r="K56" s="434"/>
      <c r="L56" s="434"/>
    </row>
    <row r="57" spans="1:12" x14ac:dyDescent="0.25">
      <c r="A57" s="435" t="s">
        <v>45</v>
      </c>
      <c r="B57" s="431"/>
      <c r="C57" s="431"/>
      <c r="D57" s="27"/>
      <c r="E57" s="27"/>
      <c r="F57" s="27"/>
      <c r="G57" s="27"/>
      <c r="H57" s="435" t="s">
        <v>46</v>
      </c>
      <c r="I57" s="431"/>
      <c r="J57" s="431"/>
      <c r="K57" s="431"/>
      <c r="L57" s="431"/>
    </row>
    <row r="58" spans="1:12" x14ac:dyDescent="0.25">
      <c r="A58" s="20"/>
      <c r="B58" s="20"/>
      <c r="C58" s="20"/>
      <c r="D58" s="20"/>
      <c r="E58" s="2"/>
      <c r="F58" s="20"/>
      <c r="G58" s="20"/>
      <c r="H58" s="180"/>
      <c r="I58" s="20"/>
      <c r="J58" s="20"/>
      <c r="K58" s="20"/>
      <c r="L58" s="20"/>
    </row>
    <row r="59" spans="1:12" x14ac:dyDescent="0.25">
      <c r="A59" s="20"/>
      <c r="B59" s="20"/>
      <c r="C59" s="321"/>
      <c r="D59" s="436" t="s">
        <v>192</v>
      </c>
      <c r="E59" s="437"/>
      <c r="F59" s="437"/>
      <c r="G59" s="437"/>
      <c r="H59" s="437"/>
      <c r="I59" s="437"/>
      <c r="J59" s="20"/>
      <c r="K59" s="20"/>
      <c r="L59" s="20"/>
    </row>
    <row r="60" spans="1:12" x14ac:dyDescent="0.25">
      <c r="A60" s="321"/>
      <c r="B60" s="321"/>
      <c r="C60" s="20"/>
      <c r="D60" s="433" t="s">
        <v>47</v>
      </c>
      <c r="E60" s="434"/>
      <c r="F60" s="434"/>
      <c r="G60" s="434"/>
      <c r="H60" s="434"/>
      <c r="I60" s="434"/>
      <c r="J60" s="20"/>
      <c r="K60" s="20"/>
      <c r="L60" s="20"/>
    </row>
    <row r="61" spans="1:12" x14ac:dyDescent="0.25">
      <c r="A61" s="10" t="s">
        <v>48</v>
      </c>
      <c r="B61" s="20"/>
      <c r="C61" s="20"/>
      <c r="D61" s="430"/>
      <c r="E61" s="431"/>
      <c r="F61" s="431"/>
      <c r="G61" s="431"/>
      <c r="H61" s="431"/>
      <c r="I61" s="431"/>
      <c r="J61" s="29"/>
      <c r="K61" s="20"/>
      <c r="L61" s="20"/>
    </row>
    <row r="62" spans="1:12" x14ac:dyDescent="0.25">
      <c r="E62" s="2"/>
    </row>
    <row r="63" spans="1:12" x14ac:dyDescent="0.25">
      <c r="E63" s="2"/>
    </row>
    <row r="64" spans="1:12" x14ac:dyDescent="0.25">
      <c r="E64" s="2"/>
    </row>
    <row r="65" spans="5:8" ht="14.25" customHeight="1" x14ac:dyDescent="0.25">
      <c r="E65" s="2"/>
    </row>
    <row r="66" spans="5:8" ht="14.25" customHeight="1" x14ac:dyDescent="0.25">
      <c r="E66" s="2"/>
    </row>
    <row r="67" spans="5:8" ht="14.25" customHeight="1" x14ac:dyDescent="0.25">
      <c r="E67" s="2"/>
      <c r="H67" s="53"/>
    </row>
    <row r="68" spans="5:8" ht="14.25" customHeight="1" x14ac:dyDescent="0.25">
      <c r="E68" s="2"/>
      <c r="H68" s="53"/>
    </row>
    <row r="69" spans="5:8" ht="14.25" customHeight="1" x14ac:dyDescent="0.25">
      <c r="E69" s="2"/>
      <c r="H69" s="53"/>
    </row>
    <row r="70" spans="5:8" ht="14.25" customHeight="1" x14ac:dyDescent="0.25">
      <c r="E70" s="2"/>
      <c r="H70" s="53"/>
    </row>
    <row r="71" spans="5:8" ht="14.25" customHeight="1" x14ac:dyDescent="0.25">
      <c r="E71" s="2"/>
      <c r="H71" s="53"/>
    </row>
    <row r="72" spans="5:8" ht="14.25" customHeight="1" x14ac:dyDescent="0.25">
      <c r="E72" s="2"/>
      <c r="H72" s="53"/>
    </row>
    <row r="73" spans="5:8" ht="14.25" customHeight="1" x14ac:dyDescent="0.25">
      <c r="E73" s="2"/>
      <c r="H73" s="53"/>
    </row>
    <row r="74" spans="5:8" ht="14.25" customHeight="1" x14ac:dyDescent="0.25">
      <c r="E74" s="2"/>
      <c r="H74" s="53"/>
    </row>
    <row r="75" spans="5:8" ht="14.25" customHeight="1" x14ac:dyDescent="0.25">
      <c r="E75" s="2"/>
      <c r="H75" s="53"/>
    </row>
    <row r="76" spans="5:8" ht="14.25" customHeight="1" x14ac:dyDescent="0.25">
      <c r="E76" s="2"/>
      <c r="H76" s="53"/>
    </row>
    <row r="77" spans="5:8" ht="14.25" customHeight="1" x14ac:dyDescent="0.25">
      <c r="E77" s="2"/>
      <c r="H77" s="53"/>
    </row>
    <row r="78" spans="5:8" ht="14.25" customHeight="1" x14ac:dyDescent="0.25">
      <c r="E78" s="2"/>
      <c r="H78" s="53"/>
    </row>
    <row r="79" spans="5:8" ht="14.25" customHeight="1" x14ac:dyDescent="0.25">
      <c r="E79" s="2"/>
      <c r="H79" s="53"/>
    </row>
    <row r="80" spans="5:8" ht="14.25" customHeight="1" x14ac:dyDescent="0.25">
      <c r="E80" s="2"/>
      <c r="H80" s="53"/>
    </row>
    <row r="81" spans="5:8" ht="14.25" customHeight="1" x14ac:dyDescent="0.25">
      <c r="E81" s="2"/>
      <c r="H81" s="53"/>
    </row>
    <row r="82" spans="5:8" ht="14.25" customHeight="1" x14ac:dyDescent="0.25">
      <c r="E82" s="2"/>
      <c r="H82" s="53"/>
    </row>
    <row r="83" spans="5:8" ht="14.25" customHeight="1" x14ac:dyDescent="0.25">
      <c r="E83" s="2"/>
      <c r="H83" s="53"/>
    </row>
    <row r="84" spans="5:8" ht="14.25" customHeight="1" x14ac:dyDescent="0.25">
      <c r="E84" s="2"/>
      <c r="H84" s="53"/>
    </row>
    <row r="85" spans="5:8" ht="14.25" customHeight="1" x14ac:dyDescent="0.25">
      <c r="E85" s="2"/>
      <c r="H85" s="53"/>
    </row>
    <row r="86" spans="5:8" ht="14.25" customHeight="1" x14ac:dyDescent="0.25">
      <c r="E86" s="2"/>
      <c r="H86" s="53"/>
    </row>
    <row r="87" spans="5:8" ht="14.25" customHeight="1" x14ac:dyDescent="0.25">
      <c r="E87" s="2"/>
      <c r="H87" s="53"/>
    </row>
    <row r="88" spans="5:8" ht="14.25" customHeight="1" x14ac:dyDescent="0.25">
      <c r="E88" s="2"/>
      <c r="H88" s="53"/>
    </row>
    <row r="89" spans="5:8" ht="14.25" customHeight="1" x14ac:dyDescent="0.25">
      <c r="E89" s="2"/>
      <c r="H89" s="53"/>
    </row>
    <row r="90" spans="5:8" ht="14.25" customHeight="1" x14ac:dyDescent="0.25">
      <c r="E90" s="2"/>
      <c r="H90" s="53"/>
    </row>
    <row r="91" spans="5:8" ht="14.25" customHeight="1" x14ac:dyDescent="0.25">
      <c r="E91" s="2"/>
      <c r="H91" s="53"/>
    </row>
    <row r="92" spans="5:8" ht="14.25" customHeight="1" x14ac:dyDescent="0.25">
      <c r="E92" s="2"/>
      <c r="H92" s="53"/>
    </row>
    <row r="93" spans="5:8" ht="14.25" customHeight="1" x14ac:dyDescent="0.25">
      <c r="E93" s="2"/>
      <c r="H93" s="53"/>
    </row>
    <row r="94" spans="5:8" ht="14.25" customHeight="1" x14ac:dyDescent="0.25">
      <c r="E94" s="2"/>
      <c r="H94" s="53"/>
    </row>
    <row r="95" spans="5:8" ht="14.25" customHeight="1" x14ac:dyDescent="0.25">
      <c r="E95" s="2"/>
      <c r="H95" s="53"/>
    </row>
    <row r="96" spans="5:8" ht="14.25" customHeight="1" x14ac:dyDescent="0.25">
      <c r="E96" s="2"/>
      <c r="H96" s="53"/>
    </row>
    <row r="97" spans="5:8" ht="14.25" customHeight="1" x14ac:dyDescent="0.25">
      <c r="E97" s="2"/>
      <c r="H97" s="53"/>
    </row>
    <row r="98" spans="5:8" ht="14.25" customHeight="1" x14ac:dyDescent="0.25">
      <c r="E98" s="2"/>
      <c r="H98" s="53"/>
    </row>
    <row r="99" spans="5:8" ht="14.25" customHeight="1" x14ac:dyDescent="0.25">
      <c r="E99" s="2"/>
      <c r="H99" s="53"/>
    </row>
    <row r="100" spans="5:8" ht="14.25" customHeight="1" x14ac:dyDescent="0.25">
      <c r="E100" s="2"/>
      <c r="H100" s="53"/>
    </row>
    <row r="101" spans="5:8" ht="14.25" customHeight="1" x14ac:dyDescent="0.25">
      <c r="E101" s="2"/>
      <c r="H101" s="53"/>
    </row>
    <row r="102" spans="5:8" ht="14.25" customHeight="1" x14ac:dyDescent="0.25">
      <c r="E102" s="2"/>
      <c r="H102" s="53"/>
    </row>
    <row r="103" spans="5:8" ht="14.25" customHeight="1" x14ac:dyDescent="0.25">
      <c r="E103" s="2"/>
      <c r="H103" s="53"/>
    </row>
    <row r="104" spans="5:8" ht="14.25" customHeight="1" x14ac:dyDescent="0.25">
      <c r="E104" s="2"/>
      <c r="H104" s="53"/>
    </row>
    <row r="105" spans="5:8" ht="14.25" customHeight="1" x14ac:dyDescent="0.25">
      <c r="E105" s="2"/>
      <c r="H105" s="53"/>
    </row>
    <row r="106" spans="5:8" ht="14.25" customHeight="1" x14ac:dyDescent="0.25">
      <c r="E106" s="2"/>
      <c r="H106" s="53"/>
    </row>
    <row r="107" spans="5:8" ht="14.25" customHeight="1" x14ac:dyDescent="0.25">
      <c r="E107" s="2"/>
      <c r="H107" s="53"/>
    </row>
    <row r="108" spans="5:8" ht="14.25" customHeight="1" x14ac:dyDescent="0.25">
      <c r="E108" s="2"/>
      <c r="H108" s="53"/>
    </row>
    <row r="109" spans="5:8" ht="14.25" customHeight="1" x14ac:dyDescent="0.25">
      <c r="E109" s="2"/>
      <c r="H109" s="53"/>
    </row>
    <row r="110" spans="5:8" ht="14.25" customHeight="1" x14ac:dyDescent="0.25">
      <c r="E110" s="2"/>
      <c r="H110" s="53"/>
    </row>
    <row r="111" spans="5:8" ht="14.25" customHeight="1" x14ac:dyDescent="0.25">
      <c r="E111" s="2"/>
      <c r="H111" s="53"/>
    </row>
    <row r="112" spans="5:8" ht="14.25" customHeight="1" x14ac:dyDescent="0.25">
      <c r="E112" s="2"/>
      <c r="H112" s="53"/>
    </row>
    <row r="113" spans="5:8" ht="14.25" customHeight="1" x14ac:dyDescent="0.25">
      <c r="E113" s="2"/>
      <c r="H113" s="53"/>
    </row>
    <row r="114" spans="5:8" ht="14.25" customHeight="1" x14ac:dyDescent="0.25">
      <c r="E114" s="2"/>
      <c r="H114" s="53"/>
    </row>
    <row r="115" spans="5:8" ht="14.25" customHeight="1" x14ac:dyDescent="0.25">
      <c r="E115" s="2"/>
      <c r="H115" s="53"/>
    </row>
    <row r="116" spans="5:8" ht="14.25" customHeight="1" x14ac:dyDescent="0.25">
      <c r="E116" s="2"/>
      <c r="H116" s="53"/>
    </row>
    <row r="117" spans="5:8" ht="14.25" customHeight="1" x14ac:dyDescent="0.25">
      <c r="E117" s="2"/>
      <c r="H117" s="53"/>
    </row>
    <row r="118" spans="5:8" ht="14.25" customHeight="1" x14ac:dyDescent="0.25">
      <c r="E118" s="2"/>
      <c r="H118" s="53"/>
    </row>
    <row r="119" spans="5:8" ht="14.25" customHeight="1" x14ac:dyDescent="0.25">
      <c r="E119" s="2"/>
      <c r="H119" s="53"/>
    </row>
    <row r="120" spans="5:8" ht="14.25" customHeight="1" x14ac:dyDescent="0.25">
      <c r="E120" s="2"/>
      <c r="H120" s="53"/>
    </row>
    <row r="121" spans="5:8" ht="14.25" customHeight="1" x14ac:dyDescent="0.25">
      <c r="E121" s="2"/>
      <c r="H121" s="53"/>
    </row>
    <row r="122" spans="5:8" ht="14.25" customHeight="1" x14ac:dyDescent="0.25">
      <c r="E122" s="2"/>
      <c r="H122" s="53"/>
    </row>
    <row r="123" spans="5:8" ht="14.25" customHeight="1" x14ac:dyDescent="0.25">
      <c r="E123" s="2"/>
      <c r="H123" s="53"/>
    </row>
    <row r="124" spans="5:8" ht="14.25" customHeight="1" x14ac:dyDescent="0.25">
      <c r="E124" s="2"/>
      <c r="H124" s="53"/>
    </row>
    <row r="125" spans="5:8" ht="14.25" customHeight="1" x14ac:dyDescent="0.25">
      <c r="E125" s="2"/>
      <c r="H125" s="53"/>
    </row>
    <row r="126" spans="5:8" ht="14.25" customHeight="1" x14ac:dyDescent="0.25">
      <c r="E126" s="2"/>
      <c r="H126" s="53"/>
    </row>
    <row r="127" spans="5:8" ht="14.25" customHeight="1" x14ac:dyDescent="0.25">
      <c r="E127" s="2"/>
      <c r="H127" s="53"/>
    </row>
    <row r="128" spans="5:8" ht="14.25" customHeight="1" x14ac:dyDescent="0.25">
      <c r="E128" s="2"/>
      <c r="H128" s="53"/>
    </row>
    <row r="129" spans="5:8" ht="14.25" customHeight="1" x14ac:dyDescent="0.25">
      <c r="E129" s="2"/>
      <c r="H129" s="53"/>
    </row>
    <row r="130" spans="5:8" ht="14.25" customHeight="1" x14ac:dyDescent="0.25">
      <c r="E130" s="2"/>
      <c r="H130" s="53"/>
    </row>
    <row r="131" spans="5:8" ht="14.25" customHeight="1" x14ac:dyDescent="0.25">
      <c r="E131" s="2"/>
      <c r="H131" s="53"/>
    </row>
    <row r="132" spans="5:8" ht="14.25" customHeight="1" x14ac:dyDescent="0.25">
      <c r="E132" s="2"/>
      <c r="H132" s="53"/>
    </row>
    <row r="133" spans="5:8" ht="14.25" customHeight="1" x14ac:dyDescent="0.25">
      <c r="E133" s="2"/>
      <c r="H133" s="53"/>
    </row>
    <row r="134" spans="5:8" ht="14.25" customHeight="1" x14ac:dyDescent="0.25">
      <c r="E134" s="2"/>
      <c r="H134" s="53"/>
    </row>
    <row r="135" spans="5:8" ht="14.25" customHeight="1" x14ac:dyDescent="0.25">
      <c r="E135" s="2"/>
      <c r="H135" s="53"/>
    </row>
    <row r="136" spans="5:8" ht="14.25" customHeight="1" x14ac:dyDescent="0.25">
      <c r="E136" s="2"/>
      <c r="H136" s="53"/>
    </row>
    <row r="137" spans="5:8" ht="14.25" customHeight="1" x14ac:dyDescent="0.25">
      <c r="E137" s="2"/>
      <c r="H137" s="53"/>
    </row>
    <row r="138" spans="5:8" ht="14.25" customHeight="1" x14ac:dyDescent="0.25">
      <c r="E138" s="2"/>
      <c r="H138" s="53"/>
    </row>
    <row r="139" spans="5:8" ht="14.25" customHeight="1" x14ac:dyDescent="0.25">
      <c r="E139" s="2"/>
      <c r="H139" s="53"/>
    </row>
    <row r="140" spans="5:8" ht="14.25" customHeight="1" x14ac:dyDescent="0.25">
      <c r="E140" s="2"/>
      <c r="H140" s="53"/>
    </row>
    <row r="141" spans="5:8" ht="14.25" customHeight="1" x14ac:dyDescent="0.25">
      <c r="E141" s="2"/>
      <c r="H141" s="53"/>
    </row>
    <row r="142" spans="5:8" ht="14.25" customHeight="1" x14ac:dyDescent="0.25">
      <c r="E142" s="2"/>
      <c r="H142" s="53"/>
    </row>
    <row r="143" spans="5:8" ht="14.25" customHeight="1" x14ac:dyDescent="0.25">
      <c r="E143" s="2"/>
      <c r="H143" s="53"/>
    </row>
    <row r="144" spans="5:8" ht="14.25" customHeight="1" x14ac:dyDescent="0.25">
      <c r="E144" s="2"/>
      <c r="H144" s="53"/>
    </row>
    <row r="145" spans="5:8" ht="14.25" customHeight="1" x14ac:dyDescent="0.25">
      <c r="E145" s="2"/>
      <c r="H145" s="53"/>
    </row>
    <row r="146" spans="5:8" ht="14.25" customHeight="1" x14ac:dyDescent="0.25">
      <c r="E146" s="2"/>
      <c r="H146" s="53"/>
    </row>
    <row r="147" spans="5:8" ht="14.25" customHeight="1" x14ac:dyDescent="0.25">
      <c r="E147" s="2"/>
      <c r="H147" s="53"/>
    </row>
    <row r="148" spans="5:8" ht="14.25" customHeight="1" x14ac:dyDescent="0.25">
      <c r="E148" s="2"/>
      <c r="H148" s="53"/>
    </row>
    <row r="149" spans="5:8" ht="14.25" customHeight="1" x14ac:dyDescent="0.25">
      <c r="E149" s="2"/>
      <c r="H149" s="53"/>
    </row>
    <row r="150" spans="5:8" ht="14.25" customHeight="1" x14ac:dyDescent="0.25">
      <c r="E150" s="2"/>
      <c r="H150" s="53"/>
    </row>
    <row r="151" spans="5:8" ht="14.25" customHeight="1" x14ac:dyDescent="0.25">
      <c r="E151" s="2"/>
      <c r="H151" s="53"/>
    </row>
    <row r="152" spans="5:8" ht="14.25" customHeight="1" x14ac:dyDescent="0.25">
      <c r="E152" s="2"/>
      <c r="H152" s="53"/>
    </row>
    <row r="153" spans="5:8" ht="14.25" customHeight="1" x14ac:dyDescent="0.25">
      <c r="E153" s="2"/>
      <c r="H153" s="53"/>
    </row>
    <row r="154" spans="5:8" ht="14.25" customHeight="1" x14ac:dyDescent="0.25">
      <c r="E154" s="2"/>
      <c r="H154" s="53"/>
    </row>
    <row r="155" spans="5:8" ht="14.25" customHeight="1" x14ac:dyDescent="0.25">
      <c r="E155" s="2"/>
      <c r="H155" s="53"/>
    </row>
    <row r="156" spans="5:8" ht="14.25" customHeight="1" x14ac:dyDescent="0.25">
      <c r="E156" s="2"/>
      <c r="H156" s="53"/>
    </row>
    <row r="157" spans="5:8" ht="14.25" customHeight="1" x14ac:dyDescent="0.25">
      <c r="E157" s="2"/>
      <c r="H157" s="53"/>
    </row>
    <row r="158" spans="5:8" ht="14.25" customHeight="1" x14ac:dyDescent="0.25">
      <c r="E158" s="2"/>
      <c r="H158" s="53"/>
    </row>
    <row r="159" spans="5:8" ht="14.25" customHeight="1" x14ac:dyDescent="0.25">
      <c r="E159" s="2"/>
      <c r="H159" s="53"/>
    </row>
    <row r="160" spans="5:8" ht="14.25" customHeight="1" x14ac:dyDescent="0.25">
      <c r="E160" s="2"/>
      <c r="H160" s="53"/>
    </row>
    <row r="161" spans="5:8" ht="14.25" customHeight="1" x14ac:dyDescent="0.25">
      <c r="E161" s="2"/>
      <c r="H161" s="53"/>
    </row>
    <row r="162" spans="5:8" ht="14.25" customHeight="1" x14ac:dyDescent="0.25">
      <c r="E162" s="2"/>
      <c r="H162" s="53"/>
    </row>
    <row r="163" spans="5:8" ht="14.25" customHeight="1" x14ac:dyDescent="0.25">
      <c r="E163" s="2"/>
      <c r="H163" s="53"/>
    </row>
    <row r="164" spans="5:8" ht="14.25" customHeight="1" x14ac:dyDescent="0.25">
      <c r="E164" s="2"/>
      <c r="H164" s="53"/>
    </row>
    <row r="165" spans="5:8" ht="14.25" customHeight="1" x14ac:dyDescent="0.25">
      <c r="E165" s="2"/>
      <c r="H165" s="53"/>
    </row>
    <row r="166" spans="5:8" ht="14.25" customHeight="1" x14ac:dyDescent="0.25">
      <c r="E166" s="2"/>
      <c r="H166" s="53"/>
    </row>
    <row r="167" spans="5:8" ht="14.25" customHeight="1" x14ac:dyDescent="0.25">
      <c r="E167" s="2"/>
      <c r="H167" s="53"/>
    </row>
    <row r="168" spans="5:8" ht="14.25" customHeight="1" x14ac:dyDescent="0.25">
      <c r="E168" s="2"/>
      <c r="H168" s="53"/>
    </row>
    <row r="169" spans="5:8" ht="14.25" customHeight="1" x14ac:dyDescent="0.25">
      <c r="E169" s="2"/>
      <c r="H169" s="53"/>
    </row>
    <row r="170" spans="5:8" ht="14.25" customHeight="1" x14ac:dyDescent="0.25">
      <c r="E170" s="2"/>
      <c r="H170" s="53"/>
    </row>
    <row r="171" spans="5:8" ht="14.25" customHeight="1" x14ac:dyDescent="0.25">
      <c r="E171" s="2"/>
      <c r="H171" s="53"/>
    </row>
    <row r="172" spans="5:8" ht="14.25" customHeight="1" x14ac:dyDescent="0.25">
      <c r="E172" s="2"/>
      <c r="H172" s="53"/>
    </row>
    <row r="173" spans="5:8" ht="14.25" customHeight="1" x14ac:dyDescent="0.25">
      <c r="E173" s="2"/>
      <c r="H173" s="53"/>
    </row>
    <row r="174" spans="5:8" ht="14.25" customHeight="1" x14ac:dyDescent="0.25">
      <c r="E174" s="2"/>
      <c r="H174" s="53"/>
    </row>
    <row r="175" spans="5:8" ht="14.25" customHeight="1" x14ac:dyDescent="0.25">
      <c r="E175" s="2"/>
      <c r="H175" s="53"/>
    </row>
    <row r="176" spans="5:8" ht="14.25" customHeight="1" x14ac:dyDescent="0.25">
      <c r="E176" s="2"/>
      <c r="H176" s="53"/>
    </row>
    <row r="177" spans="5:8" ht="14.25" customHeight="1" x14ac:dyDescent="0.25">
      <c r="E177" s="2"/>
      <c r="H177" s="53"/>
    </row>
    <row r="178" spans="5:8" ht="14.25" customHeight="1" x14ac:dyDescent="0.25">
      <c r="E178" s="2"/>
      <c r="H178" s="53"/>
    </row>
    <row r="179" spans="5:8" ht="14.25" customHeight="1" x14ac:dyDescent="0.25">
      <c r="E179" s="2"/>
      <c r="H179" s="53"/>
    </row>
    <row r="180" spans="5:8" ht="14.25" customHeight="1" x14ac:dyDescent="0.25">
      <c r="E180" s="2"/>
      <c r="H180" s="53"/>
    </row>
    <row r="181" spans="5:8" ht="14.25" customHeight="1" x14ac:dyDescent="0.25">
      <c r="E181" s="2"/>
      <c r="H181" s="53"/>
    </row>
    <row r="182" spans="5:8" ht="14.25" customHeight="1" x14ac:dyDescent="0.25">
      <c r="E182" s="2"/>
      <c r="H182" s="53"/>
    </row>
    <row r="183" spans="5:8" ht="14.25" customHeight="1" x14ac:dyDescent="0.25">
      <c r="E183" s="2"/>
      <c r="H183" s="53"/>
    </row>
    <row r="184" spans="5:8" ht="14.25" customHeight="1" x14ac:dyDescent="0.25">
      <c r="E184" s="2"/>
      <c r="H184" s="53"/>
    </row>
    <row r="185" spans="5:8" ht="14.25" customHeight="1" x14ac:dyDescent="0.25">
      <c r="E185" s="2"/>
      <c r="H185" s="53"/>
    </row>
    <row r="186" spans="5:8" ht="14.25" customHeight="1" x14ac:dyDescent="0.25">
      <c r="E186" s="2"/>
      <c r="H186" s="53"/>
    </row>
    <row r="187" spans="5:8" ht="14.25" customHeight="1" x14ac:dyDescent="0.25">
      <c r="E187" s="2"/>
      <c r="H187" s="53"/>
    </row>
    <row r="188" spans="5:8" ht="14.25" customHeight="1" x14ac:dyDescent="0.25">
      <c r="E188" s="2"/>
      <c r="H188" s="53"/>
    </row>
    <row r="189" spans="5:8" ht="14.25" customHeight="1" x14ac:dyDescent="0.25">
      <c r="E189" s="2"/>
      <c r="H189" s="53"/>
    </row>
    <row r="190" spans="5:8" ht="14.25" customHeight="1" x14ac:dyDescent="0.25">
      <c r="E190" s="2"/>
      <c r="H190" s="53"/>
    </row>
    <row r="191" spans="5:8" ht="14.25" customHeight="1" x14ac:dyDescent="0.25">
      <c r="E191" s="2"/>
      <c r="H191" s="53"/>
    </row>
    <row r="192" spans="5:8" ht="14.25" customHeight="1" x14ac:dyDescent="0.25">
      <c r="E192" s="2"/>
      <c r="H192" s="53"/>
    </row>
    <row r="193" spans="5:8" ht="14.25" customHeight="1" x14ac:dyDescent="0.25">
      <c r="E193" s="2"/>
      <c r="H193" s="53"/>
    </row>
    <row r="194" spans="5:8" ht="14.25" customHeight="1" x14ac:dyDescent="0.25">
      <c r="E194" s="2"/>
      <c r="H194" s="53"/>
    </row>
    <row r="195" spans="5:8" ht="14.25" customHeight="1" x14ac:dyDescent="0.25">
      <c r="E195" s="2"/>
      <c r="H195" s="53"/>
    </row>
    <row r="196" spans="5:8" ht="14.25" customHeight="1" x14ac:dyDescent="0.25">
      <c r="E196" s="2"/>
      <c r="H196" s="53"/>
    </row>
    <row r="197" spans="5:8" ht="14.25" customHeight="1" x14ac:dyDescent="0.25">
      <c r="E197" s="2"/>
      <c r="H197" s="53"/>
    </row>
    <row r="198" spans="5:8" ht="14.25" customHeight="1" x14ac:dyDescent="0.25">
      <c r="E198" s="2"/>
      <c r="H198" s="53"/>
    </row>
    <row r="199" spans="5:8" ht="14.25" customHeight="1" x14ac:dyDescent="0.25">
      <c r="E199" s="2"/>
      <c r="H199" s="53"/>
    </row>
    <row r="200" spans="5:8" ht="14.25" customHeight="1" x14ac:dyDescent="0.25">
      <c r="E200" s="2"/>
      <c r="H200" s="53"/>
    </row>
    <row r="201" spans="5:8" ht="14.25" customHeight="1" x14ac:dyDescent="0.25">
      <c r="E201" s="2"/>
      <c r="H201" s="53"/>
    </row>
    <row r="202" spans="5:8" ht="14.25" customHeight="1" x14ac:dyDescent="0.25">
      <c r="E202" s="2"/>
      <c r="H202" s="53"/>
    </row>
    <row r="203" spans="5:8" ht="14.25" customHeight="1" x14ac:dyDescent="0.25">
      <c r="E203" s="2"/>
      <c r="H203" s="53"/>
    </row>
    <row r="204" spans="5:8" ht="14.25" customHeight="1" x14ac:dyDescent="0.25">
      <c r="E204" s="2"/>
      <c r="H204" s="53"/>
    </row>
    <row r="205" spans="5:8" ht="14.25" customHeight="1" x14ac:dyDescent="0.25">
      <c r="E205" s="2"/>
      <c r="H205" s="53"/>
    </row>
    <row r="206" spans="5:8" ht="14.25" customHeight="1" x14ac:dyDescent="0.25">
      <c r="E206" s="2"/>
      <c r="H206" s="53"/>
    </row>
    <row r="207" spans="5:8" ht="14.25" customHeight="1" x14ac:dyDescent="0.25">
      <c r="E207" s="2"/>
      <c r="H207" s="53"/>
    </row>
    <row r="208" spans="5:8" ht="14.25" customHeight="1" x14ac:dyDescent="0.25">
      <c r="E208" s="2"/>
      <c r="H208" s="53"/>
    </row>
    <row r="209" spans="5:8" ht="14.25" customHeight="1" x14ac:dyDescent="0.25">
      <c r="E209" s="2"/>
      <c r="H209" s="53"/>
    </row>
    <row r="210" spans="5:8" ht="14.25" customHeight="1" x14ac:dyDescent="0.25">
      <c r="E210" s="2"/>
      <c r="H210" s="53"/>
    </row>
    <row r="211" spans="5:8" ht="14.25" customHeight="1" x14ac:dyDescent="0.25">
      <c r="E211" s="2"/>
      <c r="H211" s="53"/>
    </row>
    <row r="212" spans="5:8" ht="14.25" customHeight="1" x14ac:dyDescent="0.25">
      <c r="E212" s="2"/>
      <c r="H212" s="53"/>
    </row>
    <row r="213" spans="5:8" ht="14.25" customHeight="1" x14ac:dyDescent="0.25">
      <c r="E213" s="2"/>
      <c r="H213" s="53"/>
    </row>
    <row r="214" spans="5:8" ht="14.25" customHeight="1" x14ac:dyDescent="0.25">
      <c r="E214" s="2"/>
      <c r="H214" s="53"/>
    </row>
    <row r="215" spans="5:8" ht="14.25" customHeight="1" x14ac:dyDescent="0.25">
      <c r="E215" s="2"/>
      <c r="H215" s="53"/>
    </row>
    <row r="216" spans="5:8" ht="14.25" customHeight="1" x14ac:dyDescent="0.25">
      <c r="E216" s="2"/>
      <c r="H216" s="53"/>
    </row>
    <row r="217" spans="5:8" ht="14.25" customHeight="1" x14ac:dyDescent="0.25">
      <c r="E217" s="2"/>
      <c r="H217" s="53"/>
    </row>
    <row r="218" spans="5:8" ht="14.25" customHeight="1" x14ac:dyDescent="0.25">
      <c r="E218" s="2"/>
      <c r="H218" s="53"/>
    </row>
    <row r="219" spans="5:8" ht="14.25" customHeight="1" x14ac:dyDescent="0.25">
      <c r="E219" s="2"/>
      <c r="H219" s="53"/>
    </row>
    <row r="220" spans="5:8" ht="14.25" customHeight="1" x14ac:dyDescent="0.25">
      <c r="E220" s="2"/>
      <c r="H220" s="53"/>
    </row>
    <row r="221" spans="5:8" ht="14.25" customHeight="1" x14ac:dyDescent="0.25">
      <c r="E221" s="2"/>
      <c r="H221" s="53"/>
    </row>
    <row r="222" spans="5:8" ht="14.25" customHeight="1" x14ac:dyDescent="0.25">
      <c r="E222" s="2"/>
      <c r="H222" s="53"/>
    </row>
    <row r="223" spans="5:8" ht="14.25" customHeight="1" x14ac:dyDescent="0.25">
      <c r="E223" s="2"/>
      <c r="H223" s="53"/>
    </row>
    <row r="224" spans="5:8" ht="14.25" customHeight="1" x14ac:dyDescent="0.25">
      <c r="E224" s="2"/>
      <c r="H224" s="53"/>
    </row>
    <row r="225" spans="5:8" ht="14.25" customHeight="1" x14ac:dyDescent="0.25">
      <c r="E225" s="2"/>
      <c r="H225" s="53"/>
    </row>
    <row r="226" spans="5:8" ht="14.25" customHeight="1" x14ac:dyDescent="0.25">
      <c r="E226" s="2"/>
      <c r="H226" s="53"/>
    </row>
    <row r="227" spans="5:8" ht="14.25" customHeight="1" x14ac:dyDescent="0.25">
      <c r="E227" s="2"/>
      <c r="H227" s="53"/>
    </row>
    <row r="228" spans="5:8" ht="14.25" customHeight="1" x14ac:dyDescent="0.25">
      <c r="E228" s="2"/>
      <c r="H228" s="53"/>
    </row>
    <row r="229" spans="5:8" ht="14.25" customHeight="1" x14ac:dyDescent="0.25">
      <c r="E229" s="2"/>
      <c r="H229" s="53"/>
    </row>
    <row r="230" spans="5:8" ht="14.25" customHeight="1" x14ac:dyDescent="0.25">
      <c r="E230" s="2"/>
      <c r="H230" s="53"/>
    </row>
    <row r="231" spans="5:8" ht="14.25" customHeight="1" x14ac:dyDescent="0.25">
      <c r="E231" s="2"/>
      <c r="H231" s="53"/>
    </row>
    <row r="232" spans="5:8" ht="14.25" customHeight="1" x14ac:dyDescent="0.25">
      <c r="E232" s="2"/>
      <c r="H232" s="53"/>
    </row>
    <row r="233" spans="5:8" ht="14.25" customHeight="1" x14ac:dyDescent="0.25">
      <c r="E233" s="2"/>
      <c r="H233" s="53"/>
    </row>
    <row r="234" spans="5:8" ht="14.25" customHeight="1" x14ac:dyDescent="0.25">
      <c r="E234" s="2"/>
      <c r="H234" s="53"/>
    </row>
    <row r="235" spans="5:8" ht="14.25" customHeight="1" x14ac:dyDescent="0.25">
      <c r="E235" s="2"/>
      <c r="H235" s="53"/>
    </row>
    <row r="236" spans="5:8" ht="14.25" customHeight="1" x14ac:dyDescent="0.25">
      <c r="E236" s="2"/>
      <c r="H236" s="53"/>
    </row>
    <row r="237" spans="5:8" ht="14.25" customHeight="1" x14ac:dyDescent="0.25">
      <c r="E237" s="2"/>
      <c r="H237" s="53"/>
    </row>
    <row r="238" spans="5:8" ht="14.25" customHeight="1" x14ac:dyDescent="0.25">
      <c r="E238" s="2"/>
      <c r="H238" s="53"/>
    </row>
    <row r="239" spans="5:8" ht="14.25" customHeight="1" x14ac:dyDescent="0.25">
      <c r="E239" s="2"/>
      <c r="H239" s="53"/>
    </row>
    <row r="240" spans="5:8" ht="14.25" customHeight="1" x14ac:dyDescent="0.25">
      <c r="E240" s="2"/>
      <c r="H240" s="53"/>
    </row>
    <row r="241" spans="5:8" ht="14.25" customHeight="1" x14ac:dyDescent="0.25">
      <c r="E241" s="2"/>
      <c r="H241" s="53"/>
    </row>
    <row r="242" spans="5:8" ht="14.25" customHeight="1" x14ac:dyDescent="0.25">
      <c r="E242" s="2"/>
      <c r="H242" s="53"/>
    </row>
    <row r="243" spans="5:8" ht="14.25" customHeight="1" x14ac:dyDescent="0.25">
      <c r="E243" s="2"/>
      <c r="H243" s="53"/>
    </row>
    <row r="244" spans="5:8" ht="14.25" customHeight="1" x14ac:dyDescent="0.25">
      <c r="E244" s="2"/>
      <c r="H244" s="53"/>
    </row>
    <row r="245" spans="5:8" ht="14.25" customHeight="1" x14ac:dyDescent="0.25">
      <c r="E245" s="2"/>
      <c r="H245" s="53"/>
    </row>
    <row r="246" spans="5:8" ht="14.25" customHeight="1" x14ac:dyDescent="0.25">
      <c r="E246" s="2"/>
      <c r="H246" s="53"/>
    </row>
    <row r="247" spans="5:8" ht="14.25" customHeight="1" x14ac:dyDescent="0.25">
      <c r="E247" s="2"/>
      <c r="H247" s="53"/>
    </row>
    <row r="248" spans="5:8" ht="14.25" customHeight="1" x14ac:dyDescent="0.25">
      <c r="E248" s="2"/>
      <c r="H248" s="53"/>
    </row>
    <row r="249" spans="5:8" ht="14.25" customHeight="1" x14ac:dyDescent="0.25">
      <c r="E249" s="2"/>
      <c r="H249" s="53"/>
    </row>
    <row r="250" spans="5:8" ht="14.25" customHeight="1" x14ac:dyDescent="0.25">
      <c r="E250" s="2"/>
      <c r="H250" s="53"/>
    </row>
    <row r="251" spans="5:8" ht="14.25" customHeight="1" x14ac:dyDescent="0.25">
      <c r="E251" s="2"/>
      <c r="H251" s="53"/>
    </row>
    <row r="252" spans="5:8" ht="14.25" customHeight="1" x14ac:dyDescent="0.25">
      <c r="E252" s="2"/>
      <c r="H252" s="53"/>
    </row>
    <row r="253" spans="5:8" ht="14.25" customHeight="1" x14ac:dyDescent="0.25">
      <c r="E253" s="2"/>
      <c r="H253" s="53"/>
    </row>
    <row r="254" spans="5:8" ht="14.25" customHeight="1" x14ac:dyDescent="0.25">
      <c r="E254" s="2"/>
      <c r="H254" s="53"/>
    </row>
    <row r="255" spans="5:8" ht="14.25" customHeight="1" x14ac:dyDescent="0.25">
      <c r="E255" s="2"/>
      <c r="H255" s="53"/>
    </row>
    <row r="256" spans="5:8" ht="14.25" customHeight="1" x14ac:dyDescent="0.25">
      <c r="E256" s="2"/>
      <c r="H256" s="53"/>
    </row>
    <row r="257" spans="5:8" ht="14.25" customHeight="1" x14ac:dyDescent="0.25">
      <c r="E257" s="2"/>
      <c r="H257" s="53"/>
    </row>
    <row r="258" spans="5:8" ht="14.25" customHeight="1" x14ac:dyDescent="0.25">
      <c r="E258" s="2"/>
      <c r="H258" s="53"/>
    </row>
    <row r="259" spans="5:8" ht="14.25" customHeight="1" x14ac:dyDescent="0.25">
      <c r="E259" s="2"/>
      <c r="H259" s="53"/>
    </row>
    <row r="260" spans="5:8" ht="14.25" customHeight="1" x14ac:dyDescent="0.25">
      <c r="E260" s="2"/>
      <c r="H260" s="53"/>
    </row>
    <row r="261" spans="5:8" ht="14.25" customHeight="1" x14ac:dyDescent="0.25">
      <c r="E261" s="2"/>
      <c r="H261" s="53"/>
    </row>
    <row r="262" spans="5:8" ht="14.25" customHeight="1" x14ac:dyDescent="0.25">
      <c r="E262" s="2"/>
      <c r="H262" s="53"/>
    </row>
    <row r="263" spans="5:8" ht="14.25" customHeight="1" x14ac:dyDescent="0.25">
      <c r="E263" s="2"/>
      <c r="H263" s="53"/>
    </row>
    <row r="264" spans="5:8" ht="14.25" customHeight="1" x14ac:dyDescent="0.25">
      <c r="E264" s="2"/>
      <c r="H264" s="53"/>
    </row>
    <row r="265" spans="5:8" ht="14.25" customHeight="1" x14ac:dyDescent="0.25">
      <c r="E265" s="2"/>
      <c r="H265" s="53"/>
    </row>
    <row r="266" spans="5:8" ht="14.25" customHeight="1" x14ac:dyDescent="0.25">
      <c r="E266" s="2"/>
      <c r="H266" s="53"/>
    </row>
    <row r="267" spans="5:8" ht="14.25" customHeight="1" x14ac:dyDescent="0.25">
      <c r="E267" s="2"/>
      <c r="H267" s="53"/>
    </row>
    <row r="268" spans="5:8" ht="14.25" customHeight="1" x14ac:dyDescent="0.25">
      <c r="E268" s="2"/>
      <c r="H268" s="53"/>
    </row>
    <row r="269" spans="5:8" ht="14.25" customHeight="1" x14ac:dyDescent="0.25">
      <c r="E269" s="2"/>
      <c r="H269" s="53"/>
    </row>
    <row r="270" spans="5:8" ht="14.25" customHeight="1" x14ac:dyDescent="0.25">
      <c r="E270" s="2"/>
      <c r="H270" s="53"/>
    </row>
    <row r="271" spans="5:8" ht="14.25" customHeight="1" x14ac:dyDescent="0.25">
      <c r="E271" s="2"/>
      <c r="H271" s="53"/>
    </row>
    <row r="272" spans="5:8" ht="14.25" customHeight="1" x14ac:dyDescent="0.25">
      <c r="E272" s="2"/>
      <c r="H272" s="53"/>
    </row>
    <row r="273" spans="5:8" ht="14.25" customHeight="1" x14ac:dyDescent="0.25">
      <c r="E273" s="2"/>
      <c r="H273" s="53"/>
    </row>
    <row r="274" spans="5:8" ht="14.25" customHeight="1" x14ac:dyDescent="0.25">
      <c r="E274" s="2"/>
      <c r="H274" s="53"/>
    </row>
    <row r="275" spans="5:8" ht="14.25" customHeight="1" x14ac:dyDescent="0.25">
      <c r="E275" s="2"/>
      <c r="H275" s="53"/>
    </row>
    <row r="276" spans="5:8" ht="14.25" customHeight="1" x14ac:dyDescent="0.25">
      <c r="E276" s="2"/>
      <c r="H276" s="53"/>
    </row>
    <row r="277" spans="5:8" ht="14.25" customHeight="1" x14ac:dyDescent="0.25">
      <c r="E277" s="2"/>
      <c r="H277" s="53"/>
    </row>
    <row r="278" spans="5:8" ht="14.25" customHeight="1" x14ac:dyDescent="0.25">
      <c r="E278" s="2"/>
      <c r="H278" s="53"/>
    </row>
    <row r="279" spans="5:8" ht="14.25" customHeight="1" x14ac:dyDescent="0.25">
      <c r="E279" s="2"/>
      <c r="H279" s="53"/>
    </row>
    <row r="280" spans="5:8" ht="14.25" customHeight="1" x14ac:dyDescent="0.25">
      <c r="E280" s="2"/>
      <c r="H280" s="53"/>
    </row>
    <row r="281" spans="5:8" ht="14.25" customHeight="1" x14ac:dyDescent="0.25">
      <c r="E281" s="2"/>
      <c r="H281" s="53"/>
    </row>
    <row r="282" spans="5:8" ht="14.25" customHeight="1" x14ac:dyDescent="0.25">
      <c r="E282" s="2"/>
      <c r="H282" s="53"/>
    </row>
    <row r="283" spans="5:8" ht="14.25" customHeight="1" x14ac:dyDescent="0.25">
      <c r="E283" s="2"/>
      <c r="H283" s="53"/>
    </row>
    <row r="284" spans="5:8" ht="14.25" customHeight="1" x14ac:dyDescent="0.25">
      <c r="E284" s="2"/>
      <c r="H284" s="53"/>
    </row>
    <row r="285" spans="5:8" ht="14.25" customHeight="1" x14ac:dyDescent="0.25">
      <c r="E285" s="2"/>
      <c r="H285" s="53"/>
    </row>
    <row r="286" spans="5:8" ht="14.25" customHeight="1" x14ac:dyDescent="0.25">
      <c r="E286" s="2"/>
      <c r="H286" s="53"/>
    </row>
    <row r="287" spans="5:8" ht="14.25" customHeight="1" x14ac:dyDescent="0.25">
      <c r="E287" s="2"/>
      <c r="H287" s="53"/>
    </row>
    <row r="288" spans="5:8" ht="14.25" customHeight="1" x14ac:dyDescent="0.25">
      <c r="E288" s="2"/>
      <c r="H288" s="53"/>
    </row>
    <row r="289" spans="5:8" ht="14.25" customHeight="1" x14ac:dyDescent="0.25">
      <c r="E289" s="2"/>
      <c r="H289" s="53"/>
    </row>
    <row r="290" spans="5:8" ht="14.25" customHeight="1" x14ac:dyDescent="0.25">
      <c r="E290" s="2"/>
      <c r="H290" s="53"/>
    </row>
    <row r="291" spans="5:8" ht="14.25" customHeight="1" x14ac:dyDescent="0.25">
      <c r="E291" s="2"/>
      <c r="H291" s="53"/>
    </row>
    <row r="292" spans="5:8" ht="14.25" customHeight="1" x14ac:dyDescent="0.25">
      <c r="E292" s="2"/>
      <c r="H292" s="53"/>
    </row>
    <row r="293" spans="5:8" ht="14.25" customHeight="1" x14ac:dyDescent="0.25">
      <c r="E293" s="2"/>
      <c r="H293" s="53"/>
    </row>
    <row r="294" spans="5:8" ht="14.25" customHeight="1" x14ac:dyDescent="0.25">
      <c r="E294" s="2"/>
      <c r="H294" s="53"/>
    </row>
    <row r="295" spans="5:8" ht="14.25" customHeight="1" x14ac:dyDescent="0.25">
      <c r="E295" s="2"/>
      <c r="H295" s="53"/>
    </row>
    <row r="296" spans="5:8" ht="14.25" customHeight="1" x14ac:dyDescent="0.25">
      <c r="E296" s="2"/>
      <c r="H296" s="53"/>
    </row>
    <row r="297" spans="5:8" ht="14.25" customHeight="1" x14ac:dyDescent="0.25">
      <c r="E297" s="2"/>
      <c r="H297" s="53"/>
    </row>
    <row r="298" spans="5:8" ht="14.25" customHeight="1" x14ac:dyDescent="0.25">
      <c r="E298" s="2"/>
      <c r="H298" s="53"/>
    </row>
    <row r="299" spans="5:8" ht="14.25" customHeight="1" x14ac:dyDescent="0.25">
      <c r="E299" s="2"/>
      <c r="H299" s="53"/>
    </row>
    <row r="300" spans="5:8" ht="14.25" customHeight="1" x14ac:dyDescent="0.25">
      <c r="E300" s="2"/>
      <c r="H300" s="53"/>
    </row>
    <row r="301" spans="5:8" ht="14.25" customHeight="1" x14ac:dyDescent="0.25">
      <c r="E301" s="2"/>
      <c r="H301" s="53"/>
    </row>
    <row r="302" spans="5:8" ht="14.25" customHeight="1" x14ac:dyDescent="0.25">
      <c r="E302" s="2"/>
      <c r="H302" s="53"/>
    </row>
    <row r="303" spans="5:8" ht="14.25" customHeight="1" x14ac:dyDescent="0.25">
      <c r="E303" s="2"/>
      <c r="H303" s="53"/>
    </row>
    <row r="304" spans="5:8" ht="14.25" customHeight="1" x14ac:dyDescent="0.25">
      <c r="E304" s="2"/>
      <c r="H304" s="53"/>
    </row>
    <row r="305" spans="5:8" ht="14.25" customHeight="1" x14ac:dyDescent="0.25">
      <c r="E305" s="2"/>
      <c r="H305" s="53"/>
    </row>
    <row r="306" spans="5:8" ht="14.25" customHeight="1" x14ac:dyDescent="0.25">
      <c r="E306" s="2"/>
      <c r="H306" s="53"/>
    </row>
    <row r="307" spans="5:8" ht="14.25" customHeight="1" x14ac:dyDescent="0.25">
      <c r="E307" s="2"/>
      <c r="H307" s="53"/>
    </row>
    <row r="308" spans="5:8" ht="14.25" customHeight="1" x14ac:dyDescent="0.25">
      <c r="E308" s="2"/>
      <c r="H308" s="53"/>
    </row>
    <row r="309" spans="5:8" ht="14.25" customHeight="1" x14ac:dyDescent="0.25">
      <c r="E309" s="2"/>
      <c r="H309" s="53"/>
    </row>
    <row r="310" spans="5:8" ht="14.25" customHeight="1" x14ac:dyDescent="0.25">
      <c r="E310" s="2"/>
      <c r="H310" s="53"/>
    </row>
    <row r="311" spans="5:8" ht="14.25" customHeight="1" x14ac:dyDescent="0.25">
      <c r="E311" s="2"/>
      <c r="H311" s="53"/>
    </row>
    <row r="312" spans="5:8" ht="14.25" customHeight="1" x14ac:dyDescent="0.25">
      <c r="E312" s="2"/>
      <c r="H312" s="53"/>
    </row>
    <row r="313" spans="5:8" ht="14.25" customHeight="1" x14ac:dyDescent="0.25">
      <c r="E313" s="2"/>
      <c r="H313" s="53"/>
    </row>
    <row r="314" spans="5:8" ht="14.25" customHeight="1" x14ac:dyDescent="0.25">
      <c r="E314" s="2"/>
      <c r="H314" s="53"/>
    </row>
    <row r="315" spans="5:8" ht="14.25" customHeight="1" x14ac:dyDescent="0.25">
      <c r="E315" s="2"/>
      <c r="H315" s="53"/>
    </row>
    <row r="316" spans="5:8" ht="14.25" customHeight="1" x14ac:dyDescent="0.25">
      <c r="E316" s="2"/>
      <c r="H316" s="53"/>
    </row>
    <row r="317" spans="5:8" ht="14.25" customHeight="1" x14ac:dyDescent="0.25">
      <c r="E317" s="2"/>
      <c r="H317" s="53"/>
    </row>
    <row r="318" spans="5:8" ht="14.25" customHeight="1" x14ac:dyDescent="0.25">
      <c r="E318" s="2"/>
      <c r="H318" s="53"/>
    </row>
    <row r="319" spans="5:8" ht="14.25" customHeight="1" x14ac:dyDescent="0.25">
      <c r="E319" s="2"/>
      <c r="H319" s="53"/>
    </row>
    <row r="320" spans="5:8" ht="14.25" customHeight="1" x14ac:dyDescent="0.25">
      <c r="E320" s="2"/>
      <c r="H320" s="53"/>
    </row>
    <row r="321" spans="5:8" ht="14.25" customHeight="1" x14ac:dyDescent="0.25">
      <c r="E321" s="2"/>
      <c r="H321" s="53"/>
    </row>
    <row r="322" spans="5:8" ht="14.25" customHeight="1" x14ac:dyDescent="0.25">
      <c r="E322" s="2"/>
      <c r="H322" s="53"/>
    </row>
    <row r="323" spans="5:8" ht="14.25" customHeight="1" x14ac:dyDescent="0.25">
      <c r="E323" s="2"/>
      <c r="H323" s="53"/>
    </row>
    <row r="324" spans="5:8" ht="14.25" customHeight="1" x14ac:dyDescent="0.25">
      <c r="E324" s="2"/>
      <c r="H324" s="53"/>
    </row>
    <row r="325" spans="5:8" ht="14.25" customHeight="1" x14ac:dyDescent="0.25">
      <c r="E325" s="2"/>
      <c r="H325" s="53"/>
    </row>
    <row r="326" spans="5:8" ht="14.25" customHeight="1" x14ac:dyDescent="0.25">
      <c r="E326" s="2"/>
      <c r="H326" s="53"/>
    </row>
    <row r="327" spans="5:8" ht="14.25" customHeight="1" x14ac:dyDescent="0.25">
      <c r="E327" s="2"/>
      <c r="H327" s="53"/>
    </row>
    <row r="328" spans="5:8" ht="14.25" customHeight="1" x14ac:dyDescent="0.25">
      <c r="E328" s="2"/>
      <c r="H328" s="53"/>
    </row>
    <row r="329" spans="5:8" ht="14.25" customHeight="1" x14ac:dyDescent="0.25">
      <c r="E329" s="2"/>
      <c r="H329" s="53"/>
    </row>
    <row r="330" spans="5:8" ht="14.25" customHeight="1" x14ac:dyDescent="0.25">
      <c r="E330" s="2"/>
      <c r="H330" s="53"/>
    </row>
    <row r="331" spans="5:8" ht="14.25" customHeight="1" x14ac:dyDescent="0.25">
      <c r="E331" s="2"/>
      <c r="H331" s="53"/>
    </row>
    <row r="332" spans="5:8" ht="14.25" customHeight="1" x14ac:dyDescent="0.25">
      <c r="E332" s="2"/>
      <c r="H332" s="53"/>
    </row>
    <row r="333" spans="5:8" ht="14.25" customHeight="1" x14ac:dyDescent="0.25">
      <c r="E333" s="2"/>
      <c r="H333" s="53"/>
    </row>
    <row r="334" spans="5:8" ht="14.25" customHeight="1" x14ac:dyDescent="0.25">
      <c r="E334" s="2"/>
      <c r="H334" s="53"/>
    </row>
    <row r="335" spans="5:8" ht="14.25" customHeight="1" x14ac:dyDescent="0.25">
      <c r="E335" s="2"/>
      <c r="H335" s="53"/>
    </row>
    <row r="336" spans="5:8" ht="14.25" customHeight="1" x14ac:dyDescent="0.25">
      <c r="E336" s="2"/>
      <c r="H336" s="53"/>
    </row>
    <row r="337" spans="5:8" ht="14.25" customHeight="1" x14ac:dyDescent="0.25">
      <c r="E337" s="2"/>
      <c r="H337" s="53"/>
    </row>
    <row r="338" spans="5:8" ht="14.25" customHeight="1" x14ac:dyDescent="0.25">
      <c r="E338" s="2"/>
      <c r="H338" s="53"/>
    </row>
    <row r="339" spans="5:8" ht="14.25" customHeight="1" x14ac:dyDescent="0.25">
      <c r="E339" s="2"/>
      <c r="H339" s="53"/>
    </row>
    <row r="340" spans="5:8" ht="14.25" customHeight="1" x14ac:dyDescent="0.25">
      <c r="E340" s="2"/>
      <c r="H340" s="53"/>
    </row>
    <row r="341" spans="5:8" ht="14.25" customHeight="1" x14ac:dyDescent="0.25">
      <c r="E341" s="2"/>
      <c r="H341" s="53"/>
    </row>
    <row r="342" spans="5:8" ht="14.25" customHeight="1" x14ac:dyDescent="0.25">
      <c r="E342" s="2"/>
      <c r="H342" s="53"/>
    </row>
    <row r="343" spans="5:8" ht="14.25" customHeight="1" x14ac:dyDescent="0.25">
      <c r="E343" s="2"/>
      <c r="H343" s="53"/>
    </row>
    <row r="344" spans="5:8" ht="14.25" customHeight="1" x14ac:dyDescent="0.25">
      <c r="E344" s="2"/>
      <c r="H344" s="53"/>
    </row>
    <row r="345" spans="5:8" ht="14.25" customHeight="1" x14ac:dyDescent="0.25">
      <c r="E345" s="2"/>
      <c r="H345" s="53"/>
    </row>
    <row r="346" spans="5:8" ht="14.25" customHeight="1" x14ac:dyDescent="0.25">
      <c r="E346" s="2"/>
      <c r="H346" s="53"/>
    </row>
    <row r="347" spans="5:8" ht="14.25" customHeight="1" x14ac:dyDescent="0.25">
      <c r="E347" s="2"/>
      <c r="H347" s="53"/>
    </row>
    <row r="348" spans="5:8" ht="14.25" customHeight="1" x14ac:dyDescent="0.25">
      <c r="E348" s="2"/>
      <c r="H348" s="53"/>
    </row>
    <row r="349" spans="5:8" ht="14.25" customHeight="1" x14ac:dyDescent="0.25">
      <c r="E349" s="2"/>
      <c r="H349" s="53"/>
    </row>
    <row r="350" spans="5:8" ht="14.25" customHeight="1" x14ac:dyDescent="0.25">
      <c r="E350" s="2"/>
      <c r="H350" s="53"/>
    </row>
    <row r="351" spans="5:8" ht="14.25" customHeight="1" x14ac:dyDescent="0.25">
      <c r="E351" s="2"/>
      <c r="H351" s="53"/>
    </row>
    <row r="352" spans="5:8" ht="14.25" customHeight="1" x14ac:dyDescent="0.25">
      <c r="E352" s="2"/>
      <c r="H352" s="53"/>
    </row>
    <row r="353" spans="5:8" ht="14.25" customHeight="1" x14ac:dyDescent="0.25">
      <c r="E353" s="2"/>
      <c r="H353" s="53"/>
    </row>
    <row r="354" spans="5:8" ht="14.25" customHeight="1" x14ac:dyDescent="0.25">
      <c r="E354" s="2"/>
      <c r="H354" s="53"/>
    </row>
    <row r="355" spans="5:8" ht="14.25" customHeight="1" x14ac:dyDescent="0.25">
      <c r="E355" s="2"/>
      <c r="H355" s="53"/>
    </row>
    <row r="356" spans="5:8" ht="14.25" customHeight="1" x14ac:dyDescent="0.25">
      <c r="E356" s="2"/>
      <c r="H356" s="53"/>
    </row>
    <row r="357" spans="5:8" ht="14.25" customHeight="1" x14ac:dyDescent="0.25">
      <c r="E357" s="2"/>
      <c r="H357" s="53"/>
    </row>
    <row r="358" spans="5:8" ht="14.25" customHeight="1" x14ac:dyDescent="0.25">
      <c r="E358" s="2"/>
      <c r="H358" s="53"/>
    </row>
    <row r="359" spans="5:8" ht="14.25" customHeight="1" x14ac:dyDescent="0.25">
      <c r="E359" s="2"/>
      <c r="H359" s="53"/>
    </row>
    <row r="360" spans="5:8" ht="14.25" customHeight="1" x14ac:dyDescent="0.25">
      <c r="E360" s="2"/>
      <c r="H360" s="53"/>
    </row>
    <row r="361" spans="5:8" ht="14.25" customHeight="1" x14ac:dyDescent="0.25">
      <c r="E361" s="2"/>
      <c r="H361" s="53"/>
    </row>
    <row r="362" spans="5:8" ht="14.25" customHeight="1" x14ac:dyDescent="0.25">
      <c r="E362" s="2"/>
      <c r="H362" s="53"/>
    </row>
    <row r="363" spans="5:8" ht="14.25" customHeight="1" x14ac:dyDescent="0.25">
      <c r="E363" s="2"/>
      <c r="H363" s="53"/>
    </row>
    <row r="364" spans="5:8" ht="14.25" customHeight="1" x14ac:dyDescent="0.25">
      <c r="E364" s="2"/>
      <c r="H364" s="53"/>
    </row>
    <row r="365" spans="5:8" ht="14.25" customHeight="1" x14ac:dyDescent="0.25">
      <c r="E365" s="2"/>
      <c r="H365" s="53"/>
    </row>
    <row r="366" spans="5:8" ht="14.25" customHeight="1" x14ac:dyDescent="0.25">
      <c r="E366" s="2"/>
      <c r="H366" s="53"/>
    </row>
    <row r="367" spans="5:8" ht="14.25" customHeight="1" x14ac:dyDescent="0.25">
      <c r="E367" s="2"/>
      <c r="H367" s="53"/>
    </row>
    <row r="368" spans="5:8" ht="14.25" customHeight="1" x14ac:dyDescent="0.25">
      <c r="E368" s="2"/>
      <c r="H368" s="53"/>
    </row>
    <row r="369" spans="5:8" ht="14.25" customHeight="1" x14ac:dyDescent="0.25">
      <c r="E369" s="2"/>
      <c r="H369" s="53"/>
    </row>
    <row r="370" spans="5:8" ht="14.25" customHeight="1" x14ac:dyDescent="0.25">
      <c r="E370" s="2"/>
      <c r="H370" s="53"/>
    </row>
    <row r="371" spans="5:8" ht="14.25" customHeight="1" x14ac:dyDescent="0.25">
      <c r="E371" s="2"/>
      <c r="H371" s="53"/>
    </row>
    <row r="372" spans="5:8" ht="14.25" customHeight="1" x14ac:dyDescent="0.25">
      <c r="E372" s="2"/>
      <c r="H372" s="53"/>
    </row>
    <row r="373" spans="5:8" ht="14.25" customHeight="1" x14ac:dyDescent="0.25">
      <c r="E373" s="2"/>
      <c r="H373" s="53"/>
    </row>
    <row r="374" spans="5:8" ht="14.25" customHeight="1" x14ac:dyDescent="0.25">
      <c r="E374" s="2"/>
      <c r="H374" s="53"/>
    </row>
    <row r="375" spans="5:8" ht="14.25" customHeight="1" x14ac:dyDescent="0.25">
      <c r="E375" s="2"/>
      <c r="H375" s="53"/>
    </row>
    <row r="376" spans="5:8" ht="14.25" customHeight="1" x14ac:dyDescent="0.25">
      <c r="E376" s="2"/>
      <c r="H376" s="53"/>
    </row>
    <row r="377" spans="5:8" ht="14.25" customHeight="1" x14ac:dyDescent="0.25">
      <c r="E377" s="2"/>
      <c r="H377" s="53"/>
    </row>
    <row r="378" spans="5:8" ht="14.25" customHeight="1" x14ac:dyDescent="0.25">
      <c r="E378" s="2"/>
      <c r="H378" s="53"/>
    </row>
    <row r="379" spans="5:8" ht="14.25" customHeight="1" x14ac:dyDescent="0.25">
      <c r="E379" s="2"/>
      <c r="H379" s="53"/>
    </row>
    <row r="380" spans="5:8" ht="14.25" customHeight="1" x14ac:dyDescent="0.25">
      <c r="E380" s="2"/>
      <c r="H380" s="53"/>
    </row>
    <row r="381" spans="5:8" ht="14.25" customHeight="1" x14ac:dyDescent="0.25">
      <c r="E381" s="2"/>
      <c r="H381" s="53"/>
    </row>
    <row r="382" spans="5:8" ht="14.25" customHeight="1" x14ac:dyDescent="0.25">
      <c r="E382" s="2"/>
      <c r="H382" s="53"/>
    </row>
    <row r="383" spans="5:8" ht="14.25" customHeight="1" x14ac:dyDescent="0.25">
      <c r="E383" s="2"/>
      <c r="H383" s="53"/>
    </row>
    <row r="384" spans="5:8" ht="14.25" customHeight="1" x14ac:dyDescent="0.25">
      <c r="E384" s="2"/>
      <c r="H384" s="53"/>
    </row>
    <row r="385" spans="5:8" ht="14.25" customHeight="1" x14ac:dyDescent="0.25">
      <c r="E385" s="2"/>
      <c r="H385" s="53"/>
    </row>
    <row r="386" spans="5:8" ht="14.25" customHeight="1" x14ac:dyDescent="0.25">
      <c r="E386" s="2"/>
      <c r="H386" s="53"/>
    </row>
    <row r="387" spans="5:8" ht="14.25" customHeight="1" x14ac:dyDescent="0.25">
      <c r="E387" s="2"/>
      <c r="H387" s="53"/>
    </row>
    <row r="388" spans="5:8" ht="14.25" customHeight="1" x14ac:dyDescent="0.25">
      <c r="E388" s="2"/>
      <c r="H388" s="53"/>
    </row>
    <row r="389" spans="5:8" ht="14.25" customHeight="1" x14ac:dyDescent="0.25">
      <c r="E389" s="2"/>
      <c r="H389" s="53"/>
    </row>
    <row r="390" spans="5:8" ht="14.25" customHeight="1" x14ac:dyDescent="0.25">
      <c r="E390" s="2"/>
      <c r="H390" s="53"/>
    </row>
    <row r="391" spans="5:8" ht="14.25" customHeight="1" x14ac:dyDescent="0.25">
      <c r="E391" s="2"/>
      <c r="H391" s="53"/>
    </row>
    <row r="392" spans="5:8" ht="14.25" customHeight="1" x14ac:dyDescent="0.25">
      <c r="E392" s="2"/>
      <c r="H392" s="53"/>
    </row>
    <row r="393" spans="5:8" ht="14.25" customHeight="1" x14ac:dyDescent="0.25">
      <c r="E393" s="2"/>
      <c r="H393" s="53"/>
    </row>
    <row r="394" spans="5:8" ht="14.25" customHeight="1" x14ac:dyDescent="0.25">
      <c r="E394" s="2"/>
      <c r="H394" s="53"/>
    </row>
    <row r="395" spans="5:8" ht="14.25" customHeight="1" x14ac:dyDescent="0.25">
      <c r="E395" s="2"/>
      <c r="H395" s="53"/>
    </row>
    <row r="396" spans="5:8" ht="14.25" customHeight="1" x14ac:dyDescent="0.25">
      <c r="E396" s="2"/>
      <c r="H396" s="53"/>
    </row>
    <row r="397" spans="5:8" ht="14.25" customHeight="1" x14ac:dyDescent="0.25">
      <c r="E397" s="2"/>
      <c r="H397" s="53"/>
    </row>
    <row r="398" spans="5:8" ht="14.25" customHeight="1" x14ac:dyDescent="0.25">
      <c r="E398" s="2"/>
      <c r="H398" s="53"/>
    </row>
    <row r="399" spans="5:8" ht="14.25" customHeight="1" x14ac:dyDescent="0.25">
      <c r="E399" s="2"/>
      <c r="H399" s="53"/>
    </row>
    <row r="400" spans="5:8" ht="14.25" customHeight="1" x14ac:dyDescent="0.25">
      <c r="E400" s="2"/>
      <c r="H400" s="53"/>
    </row>
    <row r="401" spans="5:8" ht="14.25" customHeight="1" x14ac:dyDescent="0.25">
      <c r="E401" s="2"/>
      <c r="H401" s="53"/>
    </row>
    <row r="402" spans="5:8" ht="14.25" customHeight="1" x14ac:dyDescent="0.25">
      <c r="E402" s="2"/>
      <c r="H402" s="53"/>
    </row>
    <row r="403" spans="5:8" ht="14.25" customHeight="1" x14ac:dyDescent="0.25">
      <c r="E403" s="2"/>
      <c r="H403" s="53"/>
    </row>
    <row r="404" spans="5:8" ht="14.25" customHeight="1" x14ac:dyDescent="0.25">
      <c r="E404" s="2"/>
      <c r="H404" s="53"/>
    </row>
    <row r="405" spans="5:8" ht="14.25" customHeight="1" x14ac:dyDescent="0.25">
      <c r="E405" s="2"/>
      <c r="H405" s="53"/>
    </row>
    <row r="406" spans="5:8" ht="14.25" customHeight="1" x14ac:dyDescent="0.25">
      <c r="E406" s="2"/>
      <c r="H406" s="53"/>
    </row>
    <row r="407" spans="5:8" ht="14.25" customHeight="1" x14ac:dyDescent="0.25">
      <c r="E407" s="2"/>
      <c r="H407" s="53"/>
    </row>
    <row r="408" spans="5:8" ht="14.25" customHeight="1" x14ac:dyDescent="0.25">
      <c r="E408" s="2"/>
      <c r="H408" s="53"/>
    </row>
    <row r="409" spans="5:8" ht="14.25" customHeight="1" x14ac:dyDescent="0.25">
      <c r="E409" s="2"/>
      <c r="H409" s="53"/>
    </row>
    <row r="410" spans="5:8" ht="14.25" customHeight="1" x14ac:dyDescent="0.25">
      <c r="E410" s="2"/>
      <c r="H410" s="53"/>
    </row>
    <row r="411" spans="5:8" ht="14.25" customHeight="1" x14ac:dyDescent="0.25">
      <c r="E411" s="2"/>
      <c r="H411" s="53"/>
    </row>
    <row r="412" spans="5:8" ht="14.25" customHeight="1" x14ac:dyDescent="0.25">
      <c r="E412" s="2"/>
      <c r="H412" s="53"/>
    </row>
    <row r="413" spans="5:8" ht="14.25" customHeight="1" x14ac:dyDescent="0.25">
      <c r="E413" s="2"/>
      <c r="H413" s="53"/>
    </row>
    <row r="414" spans="5:8" ht="14.25" customHeight="1" x14ac:dyDescent="0.25">
      <c r="E414" s="2"/>
      <c r="H414" s="53"/>
    </row>
    <row r="415" spans="5:8" ht="14.25" customHeight="1" x14ac:dyDescent="0.25">
      <c r="E415" s="2"/>
      <c r="H415" s="53"/>
    </row>
    <row r="416" spans="5:8" ht="14.25" customHeight="1" x14ac:dyDescent="0.25">
      <c r="E416" s="2"/>
      <c r="H416" s="53"/>
    </row>
    <row r="417" spans="5:8" ht="14.25" customHeight="1" x14ac:dyDescent="0.25">
      <c r="E417" s="2"/>
      <c r="H417" s="53"/>
    </row>
    <row r="418" spans="5:8" ht="14.25" customHeight="1" x14ac:dyDescent="0.25">
      <c r="E418" s="2"/>
      <c r="H418" s="53"/>
    </row>
    <row r="419" spans="5:8" ht="14.25" customHeight="1" x14ac:dyDescent="0.25">
      <c r="E419" s="2"/>
      <c r="H419" s="53"/>
    </row>
    <row r="420" spans="5:8" ht="14.25" customHeight="1" x14ac:dyDescent="0.25">
      <c r="E420" s="2"/>
      <c r="H420" s="53"/>
    </row>
    <row r="421" spans="5:8" ht="14.25" customHeight="1" x14ac:dyDescent="0.25">
      <c r="E421" s="2"/>
      <c r="H421" s="53"/>
    </row>
    <row r="422" spans="5:8" ht="14.25" customHeight="1" x14ac:dyDescent="0.25">
      <c r="E422" s="2"/>
      <c r="H422" s="53"/>
    </row>
    <row r="423" spans="5:8" ht="14.25" customHeight="1" x14ac:dyDescent="0.25">
      <c r="E423" s="2"/>
      <c r="H423" s="53"/>
    </row>
    <row r="424" spans="5:8" ht="14.25" customHeight="1" x14ac:dyDescent="0.25">
      <c r="E424" s="2"/>
      <c r="H424" s="53"/>
    </row>
    <row r="425" spans="5:8" ht="14.25" customHeight="1" x14ac:dyDescent="0.25">
      <c r="E425" s="2"/>
      <c r="H425" s="53"/>
    </row>
    <row r="426" spans="5:8" ht="14.25" customHeight="1" x14ac:dyDescent="0.25">
      <c r="E426" s="2"/>
      <c r="H426" s="53"/>
    </row>
    <row r="427" spans="5:8" ht="14.25" customHeight="1" x14ac:dyDescent="0.25">
      <c r="E427" s="2"/>
      <c r="H427" s="53"/>
    </row>
    <row r="428" spans="5:8" ht="14.25" customHeight="1" x14ac:dyDescent="0.25">
      <c r="E428" s="2"/>
      <c r="H428" s="53"/>
    </row>
    <row r="429" spans="5:8" ht="14.25" customHeight="1" x14ac:dyDescent="0.25">
      <c r="E429" s="2"/>
      <c r="H429" s="53"/>
    </row>
    <row r="430" spans="5:8" ht="14.25" customHeight="1" x14ac:dyDescent="0.25">
      <c r="E430" s="2"/>
      <c r="H430" s="53"/>
    </row>
    <row r="431" spans="5:8" ht="14.25" customHeight="1" x14ac:dyDescent="0.25">
      <c r="E431" s="2"/>
      <c r="H431" s="53"/>
    </row>
    <row r="432" spans="5:8" ht="14.25" customHeight="1" x14ac:dyDescent="0.25">
      <c r="E432" s="2"/>
      <c r="H432" s="53"/>
    </row>
    <row r="433" spans="5:8" ht="14.25" customHeight="1" x14ac:dyDescent="0.25">
      <c r="E433" s="2"/>
      <c r="H433" s="53"/>
    </row>
    <row r="434" spans="5:8" ht="14.25" customHeight="1" x14ac:dyDescent="0.25">
      <c r="E434" s="2"/>
      <c r="H434" s="53"/>
    </row>
    <row r="435" spans="5:8" ht="14.25" customHeight="1" x14ac:dyDescent="0.25">
      <c r="E435" s="2"/>
      <c r="H435" s="53"/>
    </row>
    <row r="436" spans="5:8" ht="14.25" customHeight="1" x14ac:dyDescent="0.25">
      <c r="E436" s="2"/>
      <c r="H436" s="53"/>
    </row>
    <row r="437" spans="5:8" ht="14.25" customHeight="1" x14ac:dyDescent="0.25">
      <c r="E437" s="2"/>
      <c r="H437" s="53"/>
    </row>
    <row r="438" spans="5:8" ht="14.25" customHeight="1" x14ac:dyDescent="0.25">
      <c r="E438" s="2"/>
      <c r="H438" s="53"/>
    </row>
    <row r="439" spans="5:8" ht="14.25" customHeight="1" x14ac:dyDescent="0.25">
      <c r="E439" s="2"/>
      <c r="H439" s="53"/>
    </row>
    <row r="440" spans="5:8" ht="14.25" customHeight="1" x14ac:dyDescent="0.25">
      <c r="E440" s="2"/>
      <c r="H440" s="53"/>
    </row>
    <row r="441" spans="5:8" ht="14.25" customHeight="1" x14ac:dyDescent="0.25">
      <c r="E441" s="2"/>
      <c r="H441" s="53"/>
    </row>
    <row r="442" spans="5:8" ht="14.25" customHeight="1" x14ac:dyDescent="0.25">
      <c r="E442" s="2"/>
      <c r="H442" s="53"/>
    </row>
    <row r="443" spans="5:8" ht="14.25" customHeight="1" x14ac:dyDescent="0.25">
      <c r="E443" s="2"/>
      <c r="H443" s="53"/>
    </row>
    <row r="444" spans="5:8" ht="14.25" customHeight="1" x14ac:dyDescent="0.25">
      <c r="E444" s="2"/>
      <c r="H444" s="53"/>
    </row>
    <row r="445" spans="5:8" ht="14.25" customHeight="1" x14ac:dyDescent="0.25">
      <c r="E445" s="2"/>
      <c r="H445" s="53"/>
    </row>
    <row r="446" spans="5:8" ht="14.25" customHeight="1" x14ac:dyDescent="0.25">
      <c r="E446" s="2"/>
      <c r="H446" s="53"/>
    </row>
    <row r="447" spans="5:8" ht="14.25" customHeight="1" x14ac:dyDescent="0.25">
      <c r="E447" s="2"/>
      <c r="H447" s="53"/>
    </row>
    <row r="448" spans="5:8" ht="14.25" customHeight="1" x14ac:dyDescent="0.25">
      <c r="E448" s="2"/>
      <c r="H448" s="53"/>
    </row>
    <row r="449" spans="5:8" ht="14.25" customHeight="1" x14ac:dyDescent="0.25">
      <c r="E449" s="2"/>
      <c r="H449" s="53"/>
    </row>
    <row r="450" spans="5:8" ht="14.25" customHeight="1" x14ac:dyDescent="0.25">
      <c r="E450" s="2"/>
      <c r="H450" s="53"/>
    </row>
    <row r="451" spans="5:8" ht="14.25" customHeight="1" x14ac:dyDescent="0.25">
      <c r="E451" s="2"/>
      <c r="H451" s="53"/>
    </row>
    <row r="452" spans="5:8" ht="14.25" customHeight="1" x14ac:dyDescent="0.25">
      <c r="E452" s="2"/>
      <c r="H452" s="53"/>
    </row>
    <row r="453" spans="5:8" ht="14.25" customHeight="1" x14ac:dyDescent="0.25">
      <c r="E453" s="2"/>
      <c r="H453" s="53"/>
    </row>
    <row r="454" spans="5:8" ht="14.25" customHeight="1" x14ac:dyDescent="0.25">
      <c r="E454" s="2"/>
      <c r="H454" s="53"/>
    </row>
    <row r="455" spans="5:8" ht="14.25" customHeight="1" x14ac:dyDescent="0.25">
      <c r="E455" s="2"/>
      <c r="H455" s="53"/>
    </row>
    <row r="456" spans="5:8" ht="14.25" customHeight="1" x14ac:dyDescent="0.25">
      <c r="E456" s="2"/>
      <c r="H456" s="53"/>
    </row>
    <row r="457" spans="5:8" ht="14.25" customHeight="1" x14ac:dyDescent="0.25">
      <c r="E457" s="2"/>
      <c r="H457" s="53"/>
    </row>
    <row r="458" spans="5:8" ht="14.25" customHeight="1" x14ac:dyDescent="0.25">
      <c r="E458" s="2"/>
      <c r="H458" s="53"/>
    </row>
    <row r="459" spans="5:8" ht="14.25" customHeight="1" x14ac:dyDescent="0.25">
      <c r="E459" s="2"/>
      <c r="H459" s="53"/>
    </row>
    <row r="460" spans="5:8" ht="14.25" customHeight="1" x14ac:dyDescent="0.25">
      <c r="E460" s="2"/>
      <c r="H460" s="53"/>
    </row>
    <row r="461" spans="5:8" ht="14.25" customHeight="1" x14ac:dyDescent="0.25">
      <c r="E461" s="2"/>
      <c r="H461" s="53"/>
    </row>
    <row r="462" spans="5:8" ht="14.25" customHeight="1" x14ac:dyDescent="0.25">
      <c r="E462" s="2"/>
      <c r="H462" s="53"/>
    </row>
    <row r="463" spans="5:8" ht="14.25" customHeight="1" x14ac:dyDescent="0.25">
      <c r="E463" s="2"/>
      <c r="H463" s="53"/>
    </row>
    <row r="464" spans="5:8" ht="14.25" customHeight="1" x14ac:dyDescent="0.25">
      <c r="E464" s="2"/>
      <c r="H464" s="53"/>
    </row>
    <row r="465" spans="5:8" ht="14.25" customHeight="1" x14ac:dyDescent="0.25">
      <c r="E465" s="2"/>
      <c r="H465" s="53"/>
    </row>
    <row r="466" spans="5:8" ht="14.25" customHeight="1" x14ac:dyDescent="0.25">
      <c r="E466" s="2"/>
      <c r="H466" s="53"/>
    </row>
    <row r="467" spans="5:8" ht="14.25" customHeight="1" x14ac:dyDescent="0.25">
      <c r="E467" s="2"/>
      <c r="H467" s="53"/>
    </row>
    <row r="468" spans="5:8" ht="14.25" customHeight="1" x14ac:dyDescent="0.25">
      <c r="E468" s="2"/>
      <c r="H468" s="53"/>
    </row>
    <row r="469" spans="5:8" ht="14.25" customHeight="1" x14ac:dyDescent="0.25">
      <c r="E469" s="2"/>
      <c r="H469" s="53"/>
    </row>
    <row r="470" spans="5:8" ht="14.25" customHeight="1" x14ac:dyDescent="0.25">
      <c r="E470" s="2"/>
      <c r="H470" s="53"/>
    </row>
    <row r="471" spans="5:8" ht="14.25" customHeight="1" x14ac:dyDescent="0.25">
      <c r="E471" s="2"/>
      <c r="H471" s="53"/>
    </row>
    <row r="472" spans="5:8" ht="14.25" customHeight="1" x14ac:dyDescent="0.25">
      <c r="E472" s="2"/>
      <c r="H472" s="53"/>
    </row>
    <row r="473" spans="5:8" ht="14.25" customHeight="1" x14ac:dyDescent="0.25">
      <c r="E473" s="2"/>
      <c r="H473" s="53"/>
    </row>
    <row r="474" spans="5:8" ht="14.25" customHeight="1" x14ac:dyDescent="0.25">
      <c r="E474" s="2"/>
      <c r="H474" s="53"/>
    </row>
    <row r="475" spans="5:8" ht="14.25" customHeight="1" x14ac:dyDescent="0.25">
      <c r="E475" s="2"/>
      <c r="H475" s="53"/>
    </row>
    <row r="476" spans="5:8" ht="14.25" customHeight="1" x14ac:dyDescent="0.25">
      <c r="E476" s="2"/>
      <c r="H476" s="53"/>
    </row>
    <row r="477" spans="5:8" ht="14.25" customHeight="1" x14ac:dyDescent="0.25">
      <c r="E477" s="2"/>
      <c r="H477" s="53"/>
    </row>
    <row r="478" spans="5:8" ht="14.25" customHeight="1" x14ac:dyDescent="0.25">
      <c r="E478" s="2"/>
      <c r="H478" s="53"/>
    </row>
    <row r="479" spans="5:8" ht="14.25" customHeight="1" x14ac:dyDescent="0.25">
      <c r="E479" s="2"/>
      <c r="H479" s="53"/>
    </row>
    <row r="480" spans="5:8" ht="14.25" customHeight="1" x14ac:dyDescent="0.25">
      <c r="E480" s="2"/>
      <c r="H480" s="53"/>
    </row>
    <row r="481" spans="5:8" ht="14.25" customHeight="1" x14ac:dyDescent="0.25">
      <c r="E481" s="2"/>
      <c r="H481" s="53"/>
    </row>
    <row r="482" spans="5:8" ht="14.25" customHeight="1" x14ac:dyDescent="0.25">
      <c r="E482" s="2"/>
      <c r="H482" s="53"/>
    </row>
    <row r="483" spans="5:8" ht="14.25" customHeight="1" x14ac:dyDescent="0.25">
      <c r="E483" s="2"/>
      <c r="H483" s="53"/>
    </row>
    <row r="484" spans="5:8" ht="14.25" customHeight="1" x14ac:dyDescent="0.25">
      <c r="E484" s="2"/>
      <c r="H484" s="53"/>
    </row>
    <row r="485" spans="5:8" ht="14.25" customHeight="1" x14ac:dyDescent="0.25">
      <c r="E485" s="2"/>
      <c r="H485" s="53"/>
    </row>
    <row r="486" spans="5:8" ht="14.25" customHeight="1" x14ac:dyDescent="0.25">
      <c r="E486" s="2"/>
      <c r="H486" s="53"/>
    </row>
    <row r="487" spans="5:8" ht="14.25" customHeight="1" x14ac:dyDescent="0.25">
      <c r="E487" s="2"/>
      <c r="H487" s="53"/>
    </row>
    <row r="488" spans="5:8" ht="14.25" customHeight="1" x14ac:dyDescent="0.25">
      <c r="E488" s="2"/>
      <c r="H488" s="53"/>
    </row>
    <row r="489" spans="5:8" ht="14.25" customHeight="1" x14ac:dyDescent="0.25">
      <c r="E489" s="2"/>
      <c r="H489" s="53"/>
    </row>
    <row r="490" spans="5:8" ht="14.25" customHeight="1" x14ac:dyDescent="0.25">
      <c r="E490" s="2"/>
      <c r="H490" s="53"/>
    </row>
    <row r="491" spans="5:8" ht="14.25" customHeight="1" x14ac:dyDescent="0.25">
      <c r="E491" s="2"/>
      <c r="H491" s="53"/>
    </row>
    <row r="492" spans="5:8" ht="14.25" customHeight="1" x14ac:dyDescent="0.25">
      <c r="E492" s="2"/>
      <c r="H492" s="53"/>
    </row>
    <row r="493" spans="5:8" ht="14.25" customHeight="1" x14ac:dyDescent="0.25">
      <c r="E493" s="2"/>
      <c r="H493" s="53"/>
    </row>
    <row r="494" spans="5:8" ht="14.25" customHeight="1" x14ac:dyDescent="0.25">
      <c r="E494" s="2"/>
      <c r="H494" s="53"/>
    </row>
    <row r="495" spans="5:8" ht="14.25" customHeight="1" x14ac:dyDescent="0.25">
      <c r="E495" s="2"/>
      <c r="H495" s="53"/>
    </row>
    <row r="496" spans="5:8" ht="14.25" customHeight="1" x14ac:dyDescent="0.25">
      <c r="E496" s="2"/>
      <c r="H496" s="53"/>
    </row>
    <row r="497" spans="5:8" ht="14.25" customHeight="1" x14ac:dyDescent="0.25">
      <c r="E497" s="2"/>
      <c r="H497" s="53"/>
    </row>
    <row r="498" spans="5:8" ht="14.25" customHeight="1" x14ac:dyDescent="0.25">
      <c r="E498" s="2"/>
      <c r="H498" s="53"/>
    </row>
    <row r="499" spans="5:8" ht="14.25" customHeight="1" x14ac:dyDescent="0.25">
      <c r="E499" s="2"/>
      <c r="H499" s="53"/>
    </row>
    <row r="500" spans="5:8" ht="14.25" customHeight="1" x14ac:dyDescent="0.25">
      <c r="E500" s="2"/>
      <c r="H500" s="53"/>
    </row>
    <row r="501" spans="5:8" ht="14.25" customHeight="1" x14ac:dyDescent="0.25">
      <c r="E501" s="2"/>
      <c r="H501" s="53"/>
    </row>
    <row r="502" spans="5:8" ht="14.25" customHeight="1" x14ac:dyDescent="0.25">
      <c r="E502" s="2"/>
      <c r="H502" s="53"/>
    </row>
    <row r="503" spans="5:8" ht="14.25" customHeight="1" x14ac:dyDescent="0.25">
      <c r="E503" s="2"/>
      <c r="H503" s="53"/>
    </row>
    <row r="504" spans="5:8" ht="14.25" customHeight="1" x14ac:dyDescent="0.25">
      <c r="E504" s="2"/>
      <c r="H504" s="53"/>
    </row>
    <row r="505" spans="5:8" ht="14.25" customHeight="1" x14ac:dyDescent="0.25">
      <c r="E505" s="2"/>
      <c r="H505" s="53"/>
    </row>
    <row r="506" spans="5:8" ht="14.25" customHeight="1" x14ac:dyDescent="0.25">
      <c r="E506" s="2"/>
      <c r="H506" s="53"/>
    </row>
    <row r="507" spans="5:8" ht="14.25" customHeight="1" x14ac:dyDescent="0.25">
      <c r="E507" s="2"/>
      <c r="H507" s="53"/>
    </row>
    <row r="508" spans="5:8" ht="14.25" customHeight="1" x14ac:dyDescent="0.25">
      <c r="E508" s="2"/>
      <c r="H508" s="53"/>
    </row>
    <row r="509" spans="5:8" ht="14.25" customHeight="1" x14ac:dyDescent="0.25">
      <c r="E509" s="2"/>
      <c r="H509" s="53"/>
    </row>
    <row r="510" spans="5:8" ht="14.25" customHeight="1" x14ac:dyDescent="0.25">
      <c r="E510" s="2"/>
      <c r="H510" s="53"/>
    </row>
    <row r="511" spans="5:8" ht="14.25" customHeight="1" x14ac:dyDescent="0.25">
      <c r="E511" s="2"/>
      <c r="H511" s="53"/>
    </row>
    <row r="512" spans="5:8" ht="14.25" customHeight="1" x14ac:dyDescent="0.25">
      <c r="E512" s="2"/>
      <c r="H512" s="53"/>
    </row>
    <row r="513" spans="5:8" ht="14.25" customHeight="1" x14ac:dyDescent="0.25">
      <c r="E513" s="2"/>
      <c r="H513" s="53"/>
    </row>
    <row r="514" spans="5:8" ht="14.25" customHeight="1" x14ac:dyDescent="0.25">
      <c r="E514" s="2"/>
      <c r="H514" s="53"/>
    </row>
    <row r="515" spans="5:8" ht="14.25" customHeight="1" x14ac:dyDescent="0.25">
      <c r="E515" s="2"/>
      <c r="H515" s="53"/>
    </row>
    <row r="516" spans="5:8" ht="14.25" customHeight="1" x14ac:dyDescent="0.25">
      <c r="E516" s="2"/>
      <c r="H516" s="53"/>
    </row>
    <row r="517" spans="5:8" ht="14.25" customHeight="1" x14ac:dyDescent="0.25">
      <c r="E517" s="2"/>
      <c r="H517" s="53"/>
    </row>
    <row r="518" spans="5:8" ht="14.25" customHeight="1" x14ac:dyDescent="0.25">
      <c r="E518" s="2"/>
      <c r="H518" s="53"/>
    </row>
    <row r="519" spans="5:8" ht="14.25" customHeight="1" x14ac:dyDescent="0.25">
      <c r="E519" s="2"/>
      <c r="H519" s="53"/>
    </row>
    <row r="520" spans="5:8" ht="14.25" customHeight="1" x14ac:dyDescent="0.25">
      <c r="E520" s="2"/>
      <c r="H520" s="53"/>
    </row>
    <row r="521" spans="5:8" ht="14.25" customHeight="1" x14ac:dyDescent="0.25">
      <c r="E521" s="2"/>
      <c r="H521" s="53"/>
    </row>
    <row r="522" spans="5:8" ht="14.25" customHeight="1" x14ac:dyDescent="0.25">
      <c r="E522" s="2"/>
      <c r="H522" s="53"/>
    </row>
    <row r="523" spans="5:8" ht="14.25" customHeight="1" x14ac:dyDescent="0.25">
      <c r="E523" s="2"/>
      <c r="H523" s="53"/>
    </row>
    <row r="524" spans="5:8" ht="14.25" customHeight="1" x14ac:dyDescent="0.25">
      <c r="E524" s="2"/>
      <c r="H524" s="53"/>
    </row>
    <row r="525" spans="5:8" ht="14.25" customHeight="1" x14ac:dyDescent="0.25">
      <c r="E525" s="2"/>
      <c r="H525" s="53"/>
    </row>
    <row r="526" spans="5:8" ht="14.25" customHeight="1" x14ac:dyDescent="0.25">
      <c r="E526" s="2"/>
      <c r="H526" s="53"/>
    </row>
    <row r="527" spans="5:8" ht="14.25" customHeight="1" x14ac:dyDescent="0.25">
      <c r="E527" s="2"/>
      <c r="H527" s="53"/>
    </row>
    <row r="528" spans="5:8" ht="14.25" customHeight="1" x14ac:dyDescent="0.25">
      <c r="E528" s="2"/>
      <c r="H528" s="53"/>
    </row>
    <row r="529" spans="5:8" ht="14.25" customHeight="1" x14ac:dyDescent="0.25">
      <c r="E529" s="2"/>
      <c r="H529" s="53"/>
    </row>
    <row r="530" spans="5:8" ht="14.25" customHeight="1" x14ac:dyDescent="0.25">
      <c r="E530" s="2"/>
      <c r="H530" s="53"/>
    </row>
    <row r="531" spans="5:8" ht="14.25" customHeight="1" x14ac:dyDescent="0.25">
      <c r="E531" s="2"/>
      <c r="H531" s="53"/>
    </row>
    <row r="532" spans="5:8" ht="14.25" customHeight="1" x14ac:dyDescent="0.25">
      <c r="E532" s="2"/>
      <c r="H532" s="53"/>
    </row>
    <row r="533" spans="5:8" ht="14.25" customHeight="1" x14ac:dyDescent="0.25">
      <c r="E533" s="2"/>
      <c r="H533" s="53"/>
    </row>
    <row r="534" spans="5:8" ht="14.25" customHeight="1" x14ac:dyDescent="0.25">
      <c r="E534" s="2"/>
      <c r="H534" s="53"/>
    </row>
    <row r="535" spans="5:8" ht="14.25" customHeight="1" x14ac:dyDescent="0.25">
      <c r="E535" s="2"/>
      <c r="H535" s="53"/>
    </row>
    <row r="536" spans="5:8" ht="14.25" customHeight="1" x14ac:dyDescent="0.25">
      <c r="E536" s="2"/>
      <c r="H536" s="53"/>
    </row>
    <row r="537" spans="5:8" ht="14.25" customHeight="1" x14ac:dyDescent="0.25">
      <c r="E537" s="2"/>
      <c r="H537" s="53"/>
    </row>
    <row r="538" spans="5:8" ht="14.25" customHeight="1" x14ac:dyDescent="0.25">
      <c r="E538" s="2"/>
      <c r="H538" s="53"/>
    </row>
    <row r="539" spans="5:8" ht="14.25" customHeight="1" x14ac:dyDescent="0.25">
      <c r="E539" s="2"/>
      <c r="H539" s="53"/>
    </row>
    <row r="540" spans="5:8" ht="14.25" customHeight="1" x14ac:dyDescent="0.25">
      <c r="E540" s="2"/>
      <c r="H540" s="53"/>
    </row>
    <row r="541" spans="5:8" ht="14.25" customHeight="1" x14ac:dyDescent="0.25">
      <c r="E541" s="2"/>
      <c r="H541" s="53"/>
    </row>
    <row r="542" spans="5:8" ht="14.25" customHeight="1" x14ac:dyDescent="0.25">
      <c r="E542" s="2"/>
      <c r="H542" s="53"/>
    </row>
    <row r="543" spans="5:8" ht="14.25" customHeight="1" x14ac:dyDescent="0.25">
      <c r="E543" s="2"/>
      <c r="H543" s="53"/>
    </row>
    <row r="544" spans="5:8" ht="14.25" customHeight="1" x14ac:dyDescent="0.25">
      <c r="E544" s="2"/>
      <c r="H544" s="53"/>
    </row>
    <row r="545" spans="5:8" ht="14.25" customHeight="1" x14ac:dyDescent="0.25">
      <c r="E545" s="2"/>
      <c r="H545" s="53"/>
    </row>
    <row r="546" spans="5:8" ht="14.25" customHeight="1" x14ac:dyDescent="0.25">
      <c r="E546" s="2"/>
      <c r="H546" s="53"/>
    </row>
    <row r="547" spans="5:8" ht="14.25" customHeight="1" x14ac:dyDescent="0.25">
      <c r="E547" s="2"/>
      <c r="H547" s="53"/>
    </row>
    <row r="548" spans="5:8" ht="14.25" customHeight="1" x14ac:dyDescent="0.25">
      <c r="E548" s="2"/>
      <c r="H548" s="53"/>
    </row>
    <row r="549" spans="5:8" ht="14.25" customHeight="1" x14ac:dyDescent="0.25">
      <c r="E549" s="2"/>
      <c r="H549" s="53"/>
    </row>
    <row r="550" spans="5:8" ht="14.25" customHeight="1" x14ac:dyDescent="0.25">
      <c r="E550" s="2"/>
      <c r="H550" s="53"/>
    </row>
    <row r="551" spans="5:8" ht="14.25" customHeight="1" x14ac:dyDescent="0.25">
      <c r="E551" s="2"/>
      <c r="H551" s="53"/>
    </row>
    <row r="552" spans="5:8" ht="14.25" customHeight="1" x14ac:dyDescent="0.25">
      <c r="E552" s="2"/>
      <c r="H552" s="53"/>
    </row>
    <row r="553" spans="5:8" ht="14.25" customHeight="1" x14ac:dyDescent="0.25">
      <c r="E553" s="2"/>
      <c r="H553" s="53"/>
    </row>
    <row r="554" spans="5:8" ht="14.25" customHeight="1" x14ac:dyDescent="0.25">
      <c r="E554" s="2"/>
      <c r="H554" s="53"/>
    </row>
    <row r="555" spans="5:8" ht="14.25" customHeight="1" x14ac:dyDescent="0.25">
      <c r="E555" s="2"/>
      <c r="H555" s="53"/>
    </row>
    <row r="556" spans="5:8" ht="14.25" customHeight="1" x14ac:dyDescent="0.25">
      <c r="E556" s="2"/>
      <c r="H556" s="53"/>
    </row>
    <row r="557" spans="5:8" ht="14.25" customHeight="1" x14ac:dyDescent="0.25">
      <c r="E557" s="2"/>
      <c r="H557" s="53"/>
    </row>
    <row r="558" spans="5:8" ht="14.25" customHeight="1" x14ac:dyDescent="0.25">
      <c r="E558" s="2"/>
      <c r="H558" s="53"/>
    </row>
    <row r="559" spans="5:8" ht="14.25" customHeight="1" x14ac:dyDescent="0.25">
      <c r="E559" s="2"/>
      <c r="H559" s="53"/>
    </row>
    <row r="560" spans="5:8" ht="14.25" customHeight="1" x14ac:dyDescent="0.25">
      <c r="E560" s="2"/>
      <c r="H560" s="53"/>
    </row>
    <row r="561" spans="5:8" ht="14.25" customHeight="1" x14ac:dyDescent="0.25">
      <c r="E561" s="2"/>
      <c r="H561" s="53"/>
    </row>
    <row r="562" spans="5:8" ht="14.25" customHeight="1" x14ac:dyDescent="0.25">
      <c r="E562" s="2"/>
      <c r="H562" s="53"/>
    </row>
    <row r="563" spans="5:8" ht="14.25" customHeight="1" x14ac:dyDescent="0.25">
      <c r="E563" s="2"/>
      <c r="H563" s="53"/>
    </row>
    <row r="564" spans="5:8" ht="14.25" customHeight="1" x14ac:dyDescent="0.25">
      <c r="E564" s="2"/>
      <c r="H564" s="53"/>
    </row>
    <row r="565" spans="5:8" ht="14.25" customHeight="1" x14ac:dyDescent="0.25">
      <c r="E565" s="2"/>
      <c r="H565" s="53"/>
    </row>
    <row r="566" spans="5:8" ht="14.25" customHeight="1" x14ac:dyDescent="0.25">
      <c r="E566" s="2"/>
      <c r="H566" s="53"/>
    </row>
    <row r="567" spans="5:8" ht="14.25" customHeight="1" x14ac:dyDescent="0.25">
      <c r="E567" s="2"/>
      <c r="H567" s="53"/>
    </row>
    <row r="568" spans="5:8" ht="14.25" customHeight="1" x14ac:dyDescent="0.25">
      <c r="E568" s="2"/>
      <c r="H568" s="53"/>
    </row>
    <row r="569" spans="5:8" ht="14.25" customHeight="1" x14ac:dyDescent="0.25">
      <c r="E569" s="2"/>
      <c r="H569" s="53"/>
    </row>
    <row r="570" spans="5:8" ht="14.25" customHeight="1" x14ac:dyDescent="0.25">
      <c r="E570" s="2"/>
      <c r="H570" s="53"/>
    </row>
    <row r="571" spans="5:8" ht="14.25" customHeight="1" x14ac:dyDescent="0.25">
      <c r="E571" s="2"/>
      <c r="H571" s="53"/>
    </row>
    <row r="572" spans="5:8" ht="14.25" customHeight="1" x14ac:dyDescent="0.25">
      <c r="E572" s="2"/>
      <c r="H572" s="53"/>
    </row>
    <row r="573" spans="5:8" ht="14.25" customHeight="1" x14ac:dyDescent="0.25">
      <c r="E573" s="2"/>
      <c r="H573" s="53"/>
    </row>
    <row r="574" spans="5:8" ht="14.25" customHeight="1" x14ac:dyDescent="0.25">
      <c r="E574" s="2"/>
      <c r="H574" s="53"/>
    </row>
    <row r="575" spans="5:8" ht="14.25" customHeight="1" x14ac:dyDescent="0.25">
      <c r="E575" s="2"/>
      <c r="H575" s="53"/>
    </row>
    <row r="576" spans="5:8" ht="14.25" customHeight="1" x14ac:dyDescent="0.25">
      <c r="E576" s="2"/>
      <c r="H576" s="53"/>
    </row>
    <row r="577" spans="5:8" ht="14.25" customHeight="1" x14ac:dyDescent="0.25">
      <c r="E577" s="2"/>
      <c r="H577" s="53"/>
    </row>
    <row r="578" spans="5:8" ht="14.25" customHeight="1" x14ac:dyDescent="0.25">
      <c r="E578" s="2"/>
      <c r="H578" s="53"/>
    </row>
    <row r="579" spans="5:8" ht="14.25" customHeight="1" x14ac:dyDescent="0.25">
      <c r="E579" s="2"/>
      <c r="H579" s="53"/>
    </row>
    <row r="580" spans="5:8" ht="14.25" customHeight="1" x14ac:dyDescent="0.25">
      <c r="E580" s="2"/>
      <c r="H580" s="53"/>
    </row>
    <row r="581" spans="5:8" ht="14.25" customHeight="1" x14ac:dyDescent="0.25">
      <c r="E581" s="2"/>
      <c r="H581" s="53"/>
    </row>
    <row r="582" spans="5:8" ht="14.25" customHeight="1" x14ac:dyDescent="0.25">
      <c r="E582" s="2"/>
      <c r="H582" s="53"/>
    </row>
    <row r="583" spans="5:8" ht="14.25" customHeight="1" x14ac:dyDescent="0.25">
      <c r="E583" s="2"/>
      <c r="H583" s="53"/>
    </row>
    <row r="584" spans="5:8" ht="14.25" customHeight="1" x14ac:dyDescent="0.25">
      <c r="E584" s="2"/>
      <c r="H584" s="53"/>
    </row>
    <row r="585" spans="5:8" ht="14.25" customHeight="1" x14ac:dyDescent="0.25">
      <c r="E585" s="2"/>
      <c r="H585" s="53"/>
    </row>
    <row r="586" spans="5:8" ht="14.25" customHeight="1" x14ac:dyDescent="0.25">
      <c r="E586" s="2"/>
      <c r="H586" s="53"/>
    </row>
    <row r="587" spans="5:8" ht="14.25" customHeight="1" x14ac:dyDescent="0.25">
      <c r="E587" s="2"/>
      <c r="H587" s="53"/>
    </row>
    <row r="588" spans="5:8" ht="14.25" customHeight="1" x14ac:dyDescent="0.25">
      <c r="E588" s="2"/>
      <c r="H588" s="53"/>
    </row>
    <row r="589" spans="5:8" ht="14.25" customHeight="1" x14ac:dyDescent="0.25">
      <c r="E589" s="2"/>
      <c r="H589" s="53"/>
    </row>
    <row r="590" spans="5:8" ht="14.25" customHeight="1" x14ac:dyDescent="0.25">
      <c r="E590" s="2"/>
      <c r="H590" s="53"/>
    </row>
    <row r="591" spans="5:8" ht="14.25" customHeight="1" x14ac:dyDescent="0.25">
      <c r="E591" s="2"/>
      <c r="H591" s="53"/>
    </row>
    <row r="592" spans="5:8" ht="14.25" customHeight="1" x14ac:dyDescent="0.25">
      <c r="E592" s="2"/>
      <c r="H592" s="53"/>
    </row>
    <row r="593" spans="5:8" ht="14.25" customHeight="1" x14ac:dyDescent="0.25">
      <c r="E593" s="2"/>
      <c r="H593" s="53"/>
    </row>
    <row r="594" spans="5:8" ht="14.25" customHeight="1" x14ac:dyDescent="0.25">
      <c r="E594" s="2"/>
      <c r="H594" s="53"/>
    </row>
    <row r="595" spans="5:8" ht="14.25" customHeight="1" x14ac:dyDescent="0.25">
      <c r="E595" s="2"/>
      <c r="H595" s="53"/>
    </row>
    <row r="596" spans="5:8" ht="14.25" customHeight="1" x14ac:dyDescent="0.25">
      <c r="E596" s="2"/>
      <c r="H596" s="53"/>
    </row>
    <row r="597" spans="5:8" ht="14.25" customHeight="1" x14ac:dyDescent="0.25">
      <c r="E597" s="2"/>
      <c r="H597" s="53"/>
    </row>
    <row r="598" spans="5:8" ht="14.25" customHeight="1" x14ac:dyDescent="0.25">
      <c r="E598" s="2"/>
      <c r="H598" s="53"/>
    </row>
    <row r="599" spans="5:8" ht="14.25" customHeight="1" x14ac:dyDescent="0.25">
      <c r="E599" s="2"/>
      <c r="H599" s="53"/>
    </row>
    <row r="600" spans="5:8" ht="14.25" customHeight="1" x14ac:dyDescent="0.25">
      <c r="E600" s="2"/>
      <c r="H600" s="53"/>
    </row>
    <row r="601" spans="5:8" ht="14.25" customHeight="1" x14ac:dyDescent="0.25">
      <c r="E601" s="2"/>
      <c r="H601" s="53"/>
    </row>
    <row r="602" spans="5:8" ht="14.25" customHeight="1" x14ac:dyDescent="0.25">
      <c r="E602" s="2"/>
      <c r="H602" s="53"/>
    </row>
    <row r="603" spans="5:8" ht="14.25" customHeight="1" x14ac:dyDescent="0.25">
      <c r="E603" s="2"/>
      <c r="H603" s="53"/>
    </row>
    <row r="604" spans="5:8" ht="14.25" customHeight="1" x14ac:dyDescent="0.25">
      <c r="E604" s="2"/>
      <c r="H604" s="53"/>
    </row>
    <row r="605" spans="5:8" ht="14.25" customHeight="1" x14ac:dyDescent="0.25">
      <c r="E605" s="2"/>
      <c r="H605" s="53"/>
    </row>
    <row r="606" spans="5:8" ht="14.25" customHeight="1" x14ac:dyDescent="0.25">
      <c r="E606" s="2"/>
      <c r="H606" s="53"/>
    </row>
    <row r="607" spans="5:8" ht="14.25" customHeight="1" x14ac:dyDescent="0.25">
      <c r="E607" s="2"/>
      <c r="H607" s="53"/>
    </row>
    <row r="608" spans="5:8" ht="14.25" customHeight="1" x14ac:dyDescent="0.25">
      <c r="E608" s="2"/>
      <c r="H608" s="53"/>
    </row>
    <row r="609" spans="5:8" ht="14.25" customHeight="1" x14ac:dyDescent="0.25">
      <c r="E609" s="2"/>
      <c r="H609" s="53"/>
    </row>
    <row r="610" spans="5:8" ht="14.25" customHeight="1" x14ac:dyDescent="0.25">
      <c r="E610" s="2"/>
      <c r="H610" s="53"/>
    </row>
    <row r="611" spans="5:8" ht="14.25" customHeight="1" x14ac:dyDescent="0.25">
      <c r="E611" s="2"/>
      <c r="H611" s="53"/>
    </row>
    <row r="612" spans="5:8" ht="14.25" customHeight="1" x14ac:dyDescent="0.25">
      <c r="E612" s="2"/>
      <c r="H612" s="53"/>
    </row>
    <row r="613" spans="5:8" ht="14.25" customHeight="1" x14ac:dyDescent="0.25">
      <c r="E613" s="2"/>
      <c r="H613" s="53"/>
    </row>
    <row r="614" spans="5:8" ht="14.25" customHeight="1" x14ac:dyDescent="0.25">
      <c r="E614" s="2"/>
      <c r="H614" s="53"/>
    </row>
    <row r="615" spans="5:8" ht="14.25" customHeight="1" x14ac:dyDescent="0.25">
      <c r="E615" s="2"/>
      <c r="H615" s="53"/>
    </row>
    <row r="616" spans="5:8" ht="14.25" customHeight="1" x14ac:dyDescent="0.25">
      <c r="E616" s="2"/>
      <c r="H616" s="53"/>
    </row>
    <row r="617" spans="5:8" ht="14.25" customHeight="1" x14ac:dyDescent="0.25">
      <c r="E617" s="2"/>
      <c r="H617" s="53"/>
    </row>
    <row r="618" spans="5:8" ht="14.25" customHeight="1" x14ac:dyDescent="0.25">
      <c r="E618" s="2"/>
      <c r="H618" s="53"/>
    </row>
    <row r="619" spans="5:8" ht="14.25" customHeight="1" x14ac:dyDescent="0.25">
      <c r="E619" s="2"/>
      <c r="H619" s="53"/>
    </row>
    <row r="620" spans="5:8" ht="14.25" customHeight="1" x14ac:dyDescent="0.25">
      <c r="E620" s="2"/>
      <c r="H620" s="53"/>
    </row>
    <row r="621" spans="5:8" ht="14.25" customHeight="1" x14ac:dyDescent="0.25">
      <c r="E621" s="2"/>
      <c r="H621" s="53"/>
    </row>
    <row r="622" spans="5:8" ht="14.25" customHeight="1" x14ac:dyDescent="0.25">
      <c r="E622" s="2"/>
      <c r="H622" s="53"/>
    </row>
    <row r="623" spans="5:8" ht="14.25" customHeight="1" x14ac:dyDescent="0.25">
      <c r="E623" s="2"/>
      <c r="H623" s="53"/>
    </row>
    <row r="624" spans="5:8" ht="14.25" customHeight="1" x14ac:dyDescent="0.25">
      <c r="E624" s="2"/>
      <c r="H624" s="53"/>
    </row>
    <row r="625" spans="5:8" ht="14.25" customHeight="1" x14ac:dyDescent="0.25">
      <c r="E625" s="2"/>
      <c r="H625" s="53"/>
    </row>
    <row r="626" spans="5:8" ht="14.25" customHeight="1" x14ac:dyDescent="0.25">
      <c r="E626" s="2"/>
      <c r="H626" s="53"/>
    </row>
    <row r="627" spans="5:8" ht="14.25" customHeight="1" x14ac:dyDescent="0.25">
      <c r="E627" s="2"/>
      <c r="H627" s="53"/>
    </row>
    <row r="628" spans="5:8" ht="14.25" customHeight="1" x14ac:dyDescent="0.25">
      <c r="E628" s="2"/>
      <c r="H628" s="53"/>
    </row>
    <row r="629" spans="5:8" ht="14.25" customHeight="1" x14ac:dyDescent="0.25">
      <c r="E629" s="2"/>
      <c r="H629" s="53"/>
    </row>
    <row r="630" spans="5:8" ht="14.25" customHeight="1" x14ac:dyDescent="0.25">
      <c r="E630" s="2"/>
      <c r="H630" s="53"/>
    </row>
    <row r="631" spans="5:8" ht="14.25" customHeight="1" x14ac:dyDescent="0.25">
      <c r="E631" s="2"/>
      <c r="H631" s="53"/>
    </row>
    <row r="632" spans="5:8" ht="14.25" customHeight="1" x14ac:dyDescent="0.25">
      <c r="E632" s="2"/>
      <c r="H632" s="53"/>
    </row>
    <row r="633" spans="5:8" ht="14.25" customHeight="1" x14ac:dyDescent="0.25">
      <c r="E633" s="2"/>
      <c r="H633" s="53"/>
    </row>
    <row r="634" spans="5:8" ht="14.25" customHeight="1" x14ac:dyDescent="0.25">
      <c r="E634" s="2"/>
      <c r="H634" s="53"/>
    </row>
    <row r="635" spans="5:8" ht="14.25" customHeight="1" x14ac:dyDescent="0.25">
      <c r="E635" s="2"/>
      <c r="H635" s="53"/>
    </row>
    <row r="636" spans="5:8" ht="14.25" customHeight="1" x14ac:dyDescent="0.25">
      <c r="E636" s="2"/>
      <c r="H636" s="53"/>
    </row>
    <row r="637" spans="5:8" ht="14.25" customHeight="1" x14ac:dyDescent="0.25">
      <c r="E637" s="2"/>
      <c r="H637" s="53"/>
    </row>
    <row r="638" spans="5:8" ht="14.25" customHeight="1" x14ac:dyDescent="0.25">
      <c r="E638" s="2"/>
      <c r="H638" s="53"/>
    </row>
    <row r="639" spans="5:8" ht="14.25" customHeight="1" x14ac:dyDescent="0.25">
      <c r="E639" s="2"/>
      <c r="H639" s="53"/>
    </row>
    <row r="640" spans="5:8" ht="14.25" customHeight="1" x14ac:dyDescent="0.25">
      <c r="E640" s="2"/>
      <c r="H640" s="53"/>
    </row>
    <row r="641" spans="5:8" ht="14.25" customHeight="1" x14ac:dyDescent="0.25">
      <c r="E641" s="2"/>
      <c r="H641" s="53"/>
    </row>
    <row r="642" spans="5:8" ht="14.25" customHeight="1" x14ac:dyDescent="0.25">
      <c r="E642" s="2"/>
      <c r="H642" s="53"/>
    </row>
    <row r="643" spans="5:8" ht="14.25" customHeight="1" x14ac:dyDescent="0.25">
      <c r="E643" s="2"/>
      <c r="H643" s="53"/>
    </row>
    <row r="644" spans="5:8" ht="14.25" customHeight="1" x14ac:dyDescent="0.25">
      <c r="E644" s="2"/>
      <c r="H644" s="53"/>
    </row>
    <row r="645" spans="5:8" ht="14.25" customHeight="1" x14ac:dyDescent="0.25">
      <c r="E645" s="2"/>
      <c r="H645" s="53"/>
    </row>
    <row r="646" spans="5:8" ht="14.25" customHeight="1" x14ac:dyDescent="0.25">
      <c r="E646" s="2"/>
      <c r="H646" s="53"/>
    </row>
    <row r="647" spans="5:8" ht="14.25" customHeight="1" x14ac:dyDescent="0.25">
      <c r="E647" s="2"/>
      <c r="H647" s="53"/>
    </row>
    <row r="648" spans="5:8" ht="14.25" customHeight="1" x14ac:dyDescent="0.25">
      <c r="E648" s="2"/>
      <c r="H648" s="53"/>
    </row>
    <row r="649" spans="5:8" ht="14.25" customHeight="1" x14ac:dyDescent="0.25">
      <c r="E649" s="2"/>
      <c r="H649" s="53"/>
    </row>
    <row r="650" spans="5:8" ht="14.25" customHeight="1" x14ac:dyDescent="0.25">
      <c r="E650" s="2"/>
      <c r="H650" s="53"/>
    </row>
    <row r="651" spans="5:8" ht="14.25" customHeight="1" x14ac:dyDescent="0.25">
      <c r="E651" s="2"/>
      <c r="H651" s="53"/>
    </row>
    <row r="652" spans="5:8" ht="14.25" customHeight="1" x14ac:dyDescent="0.25">
      <c r="E652" s="2"/>
      <c r="H652" s="53"/>
    </row>
    <row r="653" spans="5:8" ht="14.25" customHeight="1" x14ac:dyDescent="0.25">
      <c r="E653" s="2"/>
      <c r="H653" s="53"/>
    </row>
    <row r="654" spans="5:8" ht="14.25" customHeight="1" x14ac:dyDescent="0.25">
      <c r="E654" s="2"/>
      <c r="H654" s="53"/>
    </row>
    <row r="655" spans="5:8" ht="14.25" customHeight="1" x14ac:dyDescent="0.25">
      <c r="E655" s="2"/>
      <c r="H655" s="53"/>
    </row>
    <row r="656" spans="5:8" ht="14.25" customHeight="1" x14ac:dyDescent="0.25">
      <c r="E656" s="2"/>
      <c r="H656" s="53"/>
    </row>
    <row r="657" spans="5:8" ht="14.25" customHeight="1" x14ac:dyDescent="0.25">
      <c r="E657" s="2"/>
      <c r="H657" s="53"/>
    </row>
    <row r="658" spans="5:8" ht="14.25" customHeight="1" x14ac:dyDescent="0.25">
      <c r="E658" s="2"/>
      <c r="H658" s="53"/>
    </row>
    <row r="659" spans="5:8" ht="14.25" customHeight="1" x14ac:dyDescent="0.25">
      <c r="E659" s="2"/>
      <c r="H659" s="53"/>
    </row>
    <row r="660" spans="5:8" ht="14.25" customHeight="1" x14ac:dyDescent="0.25">
      <c r="E660" s="2"/>
      <c r="H660" s="53"/>
    </row>
    <row r="661" spans="5:8" ht="14.25" customHeight="1" x14ac:dyDescent="0.25">
      <c r="E661" s="2"/>
      <c r="H661" s="53"/>
    </row>
    <row r="662" spans="5:8" ht="14.25" customHeight="1" x14ac:dyDescent="0.25">
      <c r="E662" s="2"/>
      <c r="H662" s="53"/>
    </row>
    <row r="663" spans="5:8" ht="14.25" customHeight="1" x14ac:dyDescent="0.25">
      <c r="E663" s="2"/>
      <c r="H663" s="53"/>
    </row>
    <row r="664" spans="5:8" ht="14.25" customHeight="1" x14ac:dyDescent="0.25">
      <c r="E664" s="2"/>
      <c r="H664" s="53"/>
    </row>
    <row r="665" spans="5:8" ht="14.25" customHeight="1" x14ac:dyDescent="0.25">
      <c r="E665" s="2"/>
      <c r="H665" s="53"/>
    </row>
    <row r="666" spans="5:8" ht="14.25" customHeight="1" x14ac:dyDescent="0.25">
      <c r="E666" s="2"/>
      <c r="H666" s="53"/>
    </row>
    <row r="667" spans="5:8" ht="14.25" customHeight="1" x14ac:dyDescent="0.25">
      <c r="E667" s="2"/>
      <c r="H667" s="53"/>
    </row>
    <row r="668" spans="5:8" ht="14.25" customHeight="1" x14ac:dyDescent="0.25">
      <c r="E668" s="2"/>
      <c r="H668" s="53"/>
    </row>
    <row r="669" spans="5:8" ht="14.25" customHeight="1" x14ac:dyDescent="0.25">
      <c r="E669" s="2"/>
      <c r="H669" s="53"/>
    </row>
    <row r="670" spans="5:8" ht="14.25" customHeight="1" x14ac:dyDescent="0.25">
      <c r="E670" s="2"/>
      <c r="H670" s="53"/>
    </row>
    <row r="671" spans="5:8" ht="14.25" customHeight="1" x14ac:dyDescent="0.25">
      <c r="E671" s="2"/>
      <c r="H671" s="53"/>
    </row>
    <row r="672" spans="5:8" ht="14.25" customHeight="1" x14ac:dyDescent="0.25">
      <c r="E672" s="2"/>
      <c r="H672" s="53"/>
    </row>
    <row r="673" spans="5:8" ht="14.25" customHeight="1" x14ac:dyDescent="0.25">
      <c r="E673" s="2"/>
      <c r="H673" s="53"/>
    </row>
    <row r="674" spans="5:8" ht="14.25" customHeight="1" x14ac:dyDescent="0.25">
      <c r="E674" s="2"/>
      <c r="H674" s="53"/>
    </row>
    <row r="675" spans="5:8" ht="14.25" customHeight="1" x14ac:dyDescent="0.25">
      <c r="E675" s="2"/>
      <c r="H675" s="53"/>
    </row>
    <row r="676" spans="5:8" ht="14.25" customHeight="1" x14ac:dyDescent="0.25">
      <c r="E676" s="2"/>
      <c r="H676" s="53"/>
    </row>
    <row r="677" spans="5:8" ht="14.25" customHeight="1" x14ac:dyDescent="0.25">
      <c r="E677" s="2"/>
      <c r="H677" s="53"/>
    </row>
    <row r="678" spans="5:8" ht="14.25" customHeight="1" x14ac:dyDescent="0.25">
      <c r="E678" s="2"/>
      <c r="H678" s="53"/>
    </row>
    <row r="679" spans="5:8" ht="14.25" customHeight="1" x14ac:dyDescent="0.25">
      <c r="E679" s="2"/>
      <c r="H679" s="53"/>
    </row>
    <row r="680" spans="5:8" ht="14.25" customHeight="1" x14ac:dyDescent="0.25">
      <c r="E680" s="2"/>
      <c r="H680" s="53"/>
    </row>
    <row r="681" spans="5:8" ht="14.25" customHeight="1" x14ac:dyDescent="0.25">
      <c r="E681" s="2"/>
      <c r="H681" s="53"/>
    </row>
    <row r="682" spans="5:8" ht="14.25" customHeight="1" x14ac:dyDescent="0.25">
      <c r="E682" s="2"/>
      <c r="H682" s="53"/>
    </row>
    <row r="683" spans="5:8" ht="14.25" customHeight="1" x14ac:dyDescent="0.25">
      <c r="E683" s="2"/>
      <c r="H683" s="53"/>
    </row>
    <row r="684" spans="5:8" ht="14.25" customHeight="1" x14ac:dyDescent="0.25">
      <c r="E684" s="2"/>
      <c r="H684" s="53"/>
    </row>
    <row r="685" spans="5:8" ht="14.25" customHeight="1" x14ac:dyDescent="0.25">
      <c r="E685" s="2"/>
      <c r="H685" s="53"/>
    </row>
    <row r="686" spans="5:8" ht="14.25" customHeight="1" x14ac:dyDescent="0.25">
      <c r="E686" s="2"/>
      <c r="H686" s="53"/>
    </row>
    <row r="687" spans="5:8" ht="14.25" customHeight="1" x14ac:dyDescent="0.25">
      <c r="E687" s="2"/>
      <c r="H687" s="53"/>
    </row>
    <row r="688" spans="5:8" ht="14.25" customHeight="1" x14ac:dyDescent="0.25">
      <c r="E688" s="2"/>
      <c r="H688" s="53"/>
    </row>
    <row r="689" spans="5:8" ht="14.25" customHeight="1" x14ac:dyDescent="0.25">
      <c r="E689" s="2"/>
      <c r="H689" s="53"/>
    </row>
    <row r="690" spans="5:8" ht="14.25" customHeight="1" x14ac:dyDescent="0.25">
      <c r="E690" s="2"/>
      <c r="H690" s="53"/>
    </row>
    <row r="691" spans="5:8" ht="14.25" customHeight="1" x14ac:dyDescent="0.25">
      <c r="E691" s="2"/>
      <c r="H691" s="53"/>
    </row>
    <row r="692" spans="5:8" ht="14.25" customHeight="1" x14ac:dyDescent="0.25">
      <c r="E692" s="2"/>
      <c r="H692" s="53"/>
    </row>
    <row r="693" spans="5:8" ht="14.25" customHeight="1" x14ac:dyDescent="0.25">
      <c r="E693" s="2"/>
      <c r="H693" s="53"/>
    </row>
    <row r="694" spans="5:8" ht="14.25" customHeight="1" x14ac:dyDescent="0.25">
      <c r="E694" s="2"/>
      <c r="H694" s="53"/>
    </row>
    <row r="695" spans="5:8" ht="14.25" customHeight="1" x14ac:dyDescent="0.25">
      <c r="E695" s="2"/>
      <c r="H695" s="53"/>
    </row>
    <row r="696" spans="5:8" ht="14.25" customHeight="1" x14ac:dyDescent="0.25">
      <c r="E696" s="2"/>
      <c r="H696" s="53"/>
    </row>
    <row r="697" spans="5:8" ht="14.25" customHeight="1" x14ac:dyDescent="0.25">
      <c r="E697" s="2"/>
      <c r="H697" s="53"/>
    </row>
    <row r="698" spans="5:8" ht="14.25" customHeight="1" x14ac:dyDescent="0.25">
      <c r="E698" s="2"/>
      <c r="H698" s="53"/>
    </row>
    <row r="699" spans="5:8" ht="14.25" customHeight="1" x14ac:dyDescent="0.25">
      <c r="E699" s="2"/>
      <c r="H699" s="53"/>
    </row>
    <row r="700" spans="5:8" ht="14.25" customHeight="1" x14ac:dyDescent="0.25">
      <c r="E700" s="2"/>
      <c r="H700" s="53"/>
    </row>
    <row r="701" spans="5:8" ht="14.25" customHeight="1" x14ac:dyDescent="0.25">
      <c r="E701" s="2"/>
      <c r="H701" s="53"/>
    </row>
    <row r="702" spans="5:8" ht="14.25" customHeight="1" x14ac:dyDescent="0.25">
      <c r="E702" s="2"/>
      <c r="H702" s="53"/>
    </row>
    <row r="703" spans="5:8" ht="14.25" customHeight="1" x14ac:dyDescent="0.25">
      <c r="E703" s="2"/>
      <c r="H703" s="53"/>
    </row>
    <row r="704" spans="5:8" ht="14.25" customHeight="1" x14ac:dyDescent="0.25">
      <c r="E704" s="2"/>
      <c r="H704" s="53"/>
    </row>
    <row r="705" spans="5:8" ht="14.25" customHeight="1" x14ac:dyDescent="0.25">
      <c r="E705" s="2"/>
      <c r="H705" s="53"/>
    </row>
    <row r="706" spans="5:8" ht="14.25" customHeight="1" x14ac:dyDescent="0.25">
      <c r="E706" s="2"/>
      <c r="H706" s="53"/>
    </row>
    <row r="707" spans="5:8" ht="14.25" customHeight="1" x14ac:dyDescent="0.25">
      <c r="E707" s="2"/>
      <c r="H707" s="53"/>
    </row>
    <row r="708" spans="5:8" ht="14.25" customHeight="1" x14ac:dyDescent="0.25">
      <c r="E708" s="2"/>
      <c r="H708" s="53"/>
    </row>
    <row r="709" spans="5:8" ht="14.25" customHeight="1" x14ac:dyDescent="0.25">
      <c r="E709" s="2"/>
      <c r="H709" s="53"/>
    </row>
    <row r="710" spans="5:8" ht="14.25" customHeight="1" x14ac:dyDescent="0.25">
      <c r="E710" s="2"/>
      <c r="H710" s="53"/>
    </row>
    <row r="711" spans="5:8" ht="14.25" customHeight="1" x14ac:dyDescent="0.25">
      <c r="E711" s="2"/>
      <c r="H711" s="53"/>
    </row>
    <row r="712" spans="5:8" ht="14.25" customHeight="1" x14ac:dyDescent="0.25">
      <c r="E712" s="2"/>
      <c r="H712" s="53"/>
    </row>
    <row r="713" spans="5:8" ht="14.25" customHeight="1" x14ac:dyDescent="0.25">
      <c r="E713" s="2"/>
      <c r="H713" s="53"/>
    </row>
    <row r="714" spans="5:8" ht="14.25" customHeight="1" x14ac:dyDescent="0.25">
      <c r="E714" s="2"/>
      <c r="H714" s="53"/>
    </row>
    <row r="715" spans="5:8" ht="14.25" customHeight="1" x14ac:dyDescent="0.25">
      <c r="E715" s="2"/>
      <c r="H715" s="53"/>
    </row>
    <row r="716" spans="5:8" ht="14.25" customHeight="1" x14ac:dyDescent="0.25">
      <c r="E716" s="2"/>
      <c r="H716" s="53"/>
    </row>
    <row r="717" spans="5:8" ht="14.25" customHeight="1" x14ac:dyDescent="0.25">
      <c r="E717" s="2"/>
      <c r="H717" s="53"/>
    </row>
    <row r="718" spans="5:8" ht="14.25" customHeight="1" x14ac:dyDescent="0.25">
      <c r="E718" s="2"/>
      <c r="H718" s="53"/>
    </row>
    <row r="719" spans="5:8" ht="14.25" customHeight="1" x14ac:dyDescent="0.25">
      <c r="E719" s="2"/>
      <c r="H719" s="53"/>
    </row>
    <row r="720" spans="5:8" ht="14.25" customHeight="1" x14ac:dyDescent="0.25">
      <c r="E720" s="2"/>
      <c r="H720" s="53"/>
    </row>
    <row r="721" spans="5:8" ht="14.25" customHeight="1" x14ac:dyDescent="0.25">
      <c r="E721" s="2"/>
      <c r="H721" s="53"/>
    </row>
    <row r="722" spans="5:8" ht="14.25" customHeight="1" x14ac:dyDescent="0.25">
      <c r="E722" s="2"/>
      <c r="H722" s="53"/>
    </row>
    <row r="723" spans="5:8" ht="14.25" customHeight="1" x14ac:dyDescent="0.25">
      <c r="E723" s="2"/>
      <c r="H723" s="53"/>
    </row>
    <row r="724" spans="5:8" ht="14.25" customHeight="1" x14ac:dyDescent="0.25">
      <c r="E724" s="2"/>
      <c r="H724" s="53"/>
    </row>
    <row r="725" spans="5:8" ht="14.25" customHeight="1" x14ac:dyDescent="0.25">
      <c r="E725" s="2"/>
      <c r="H725" s="53"/>
    </row>
    <row r="726" spans="5:8" ht="14.25" customHeight="1" x14ac:dyDescent="0.25">
      <c r="E726" s="2"/>
      <c r="H726" s="53"/>
    </row>
    <row r="727" spans="5:8" ht="14.25" customHeight="1" x14ac:dyDescent="0.25">
      <c r="E727" s="2"/>
      <c r="H727" s="53"/>
    </row>
    <row r="728" spans="5:8" ht="14.25" customHeight="1" x14ac:dyDescent="0.25">
      <c r="E728" s="2"/>
      <c r="H728" s="53"/>
    </row>
    <row r="729" spans="5:8" ht="14.25" customHeight="1" x14ac:dyDescent="0.25">
      <c r="E729" s="2"/>
      <c r="H729" s="53"/>
    </row>
    <row r="730" spans="5:8" ht="14.25" customHeight="1" x14ac:dyDescent="0.25">
      <c r="E730" s="2"/>
      <c r="H730" s="53"/>
    </row>
    <row r="731" spans="5:8" ht="14.25" customHeight="1" x14ac:dyDescent="0.25">
      <c r="E731" s="2"/>
      <c r="H731" s="53"/>
    </row>
    <row r="732" spans="5:8" ht="14.25" customHeight="1" x14ac:dyDescent="0.25">
      <c r="E732" s="2"/>
      <c r="H732" s="53"/>
    </row>
    <row r="733" spans="5:8" ht="14.25" customHeight="1" x14ac:dyDescent="0.25">
      <c r="E733" s="2"/>
      <c r="H733" s="53"/>
    </row>
    <row r="734" spans="5:8" ht="14.25" customHeight="1" x14ac:dyDescent="0.25">
      <c r="E734" s="2"/>
      <c r="H734" s="53"/>
    </row>
    <row r="735" spans="5:8" ht="14.25" customHeight="1" x14ac:dyDescent="0.25">
      <c r="E735" s="2"/>
      <c r="H735" s="53"/>
    </row>
    <row r="736" spans="5:8" ht="14.25" customHeight="1" x14ac:dyDescent="0.25">
      <c r="E736" s="2"/>
      <c r="H736" s="53"/>
    </row>
    <row r="737" spans="5:8" ht="14.25" customHeight="1" x14ac:dyDescent="0.25">
      <c r="E737" s="2"/>
      <c r="H737" s="53"/>
    </row>
    <row r="738" spans="5:8" ht="14.25" customHeight="1" x14ac:dyDescent="0.25">
      <c r="E738" s="2"/>
      <c r="H738" s="53"/>
    </row>
    <row r="739" spans="5:8" ht="14.25" customHeight="1" x14ac:dyDescent="0.25">
      <c r="E739" s="2"/>
      <c r="H739" s="53"/>
    </row>
    <row r="740" spans="5:8" ht="14.25" customHeight="1" x14ac:dyDescent="0.25">
      <c r="E740" s="2"/>
      <c r="H740" s="53"/>
    </row>
    <row r="741" spans="5:8" ht="14.25" customHeight="1" x14ac:dyDescent="0.25">
      <c r="E741" s="2"/>
      <c r="H741" s="53"/>
    </row>
    <row r="742" spans="5:8" ht="14.25" customHeight="1" x14ac:dyDescent="0.25">
      <c r="E742" s="2"/>
      <c r="H742" s="53"/>
    </row>
    <row r="743" spans="5:8" ht="14.25" customHeight="1" x14ac:dyDescent="0.25">
      <c r="E743" s="2"/>
      <c r="H743" s="53"/>
    </row>
    <row r="744" spans="5:8" ht="14.25" customHeight="1" x14ac:dyDescent="0.25">
      <c r="E744" s="2"/>
      <c r="H744" s="53"/>
    </row>
    <row r="745" spans="5:8" ht="14.25" customHeight="1" x14ac:dyDescent="0.25">
      <c r="E745" s="2"/>
      <c r="H745" s="53"/>
    </row>
    <row r="746" spans="5:8" ht="14.25" customHeight="1" x14ac:dyDescent="0.25">
      <c r="E746" s="2"/>
      <c r="H746" s="53"/>
    </row>
    <row r="747" spans="5:8" ht="14.25" customHeight="1" x14ac:dyDescent="0.25">
      <c r="E747" s="2"/>
      <c r="H747" s="53"/>
    </row>
    <row r="748" spans="5:8" ht="14.25" customHeight="1" x14ac:dyDescent="0.25">
      <c r="E748" s="2"/>
      <c r="H748" s="53"/>
    </row>
    <row r="749" spans="5:8" ht="14.25" customHeight="1" x14ac:dyDescent="0.25">
      <c r="E749" s="2"/>
      <c r="H749" s="53"/>
    </row>
    <row r="750" spans="5:8" ht="14.25" customHeight="1" x14ac:dyDescent="0.25">
      <c r="E750" s="2"/>
      <c r="H750" s="53"/>
    </row>
    <row r="751" spans="5:8" ht="14.25" customHeight="1" x14ac:dyDescent="0.25">
      <c r="E751" s="2"/>
      <c r="H751" s="53"/>
    </row>
    <row r="752" spans="5:8" ht="14.25" customHeight="1" x14ac:dyDescent="0.25">
      <c r="E752" s="2"/>
      <c r="H752" s="53"/>
    </row>
    <row r="753" spans="5:8" ht="14.25" customHeight="1" x14ac:dyDescent="0.25">
      <c r="E753" s="2"/>
      <c r="H753" s="53"/>
    </row>
    <row r="754" spans="5:8" ht="14.25" customHeight="1" x14ac:dyDescent="0.25">
      <c r="E754" s="2"/>
      <c r="H754" s="53"/>
    </row>
    <row r="755" spans="5:8" ht="14.25" customHeight="1" x14ac:dyDescent="0.25">
      <c r="E755" s="2"/>
      <c r="H755" s="53"/>
    </row>
    <row r="756" spans="5:8" ht="14.25" customHeight="1" x14ac:dyDescent="0.25">
      <c r="E756" s="2"/>
      <c r="H756" s="53"/>
    </row>
    <row r="757" spans="5:8" ht="14.25" customHeight="1" x14ac:dyDescent="0.25">
      <c r="E757" s="2"/>
      <c r="H757" s="53"/>
    </row>
    <row r="758" spans="5:8" ht="14.25" customHeight="1" x14ac:dyDescent="0.25">
      <c r="E758" s="2"/>
      <c r="H758" s="53"/>
    </row>
    <row r="759" spans="5:8" ht="14.25" customHeight="1" x14ac:dyDescent="0.25">
      <c r="E759" s="2"/>
      <c r="H759" s="53"/>
    </row>
    <row r="760" spans="5:8" ht="14.25" customHeight="1" x14ac:dyDescent="0.25">
      <c r="E760" s="2"/>
      <c r="H760" s="53"/>
    </row>
    <row r="761" spans="5:8" ht="14.25" customHeight="1" x14ac:dyDescent="0.25">
      <c r="E761" s="2"/>
      <c r="H761" s="53"/>
    </row>
    <row r="762" spans="5:8" ht="14.25" customHeight="1" x14ac:dyDescent="0.25">
      <c r="E762" s="2"/>
      <c r="H762" s="53"/>
    </row>
    <row r="763" spans="5:8" ht="14.25" customHeight="1" x14ac:dyDescent="0.25">
      <c r="E763" s="2"/>
      <c r="H763" s="53"/>
    </row>
    <row r="764" spans="5:8" ht="14.25" customHeight="1" x14ac:dyDescent="0.25">
      <c r="E764" s="2"/>
      <c r="H764" s="53"/>
    </row>
    <row r="765" spans="5:8" ht="14.25" customHeight="1" x14ac:dyDescent="0.25">
      <c r="E765" s="2"/>
      <c r="H765" s="53"/>
    </row>
    <row r="766" spans="5:8" ht="14.25" customHeight="1" x14ac:dyDescent="0.25">
      <c r="E766" s="2"/>
      <c r="H766" s="53"/>
    </row>
    <row r="767" spans="5:8" ht="14.25" customHeight="1" x14ac:dyDescent="0.25">
      <c r="E767" s="2"/>
      <c r="H767" s="53"/>
    </row>
    <row r="768" spans="5:8" ht="14.25" customHeight="1" x14ac:dyDescent="0.25">
      <c r="E768" s="2"/>
      <c r="H768" s="53"/>
    </row>
    <row r="769" spans="5:8" ht="14.25" customHeight="1" x14ac:dyDescent="0.25">
      <c r="E769" s="2"/>
      <c r="H769" s="53"/>
    </row>
    <row r="770" spans="5:8" ht="14.25" customHeight="1" x14ac:dyDescent="0.25">
      <c r="E770" s="2"/>
      <c r="H770" s="53"/>
    </row>
    <row r="771" spans="5:8" ht="14.25" customHeight="1" x14ac:dyDescent="0.25">
      <c r="E771" s="2"/>
      <c r="H771" s="53"/>
    </row>
    <row r="772" spans="5:8" ht="14.25" customHeight="1" x14ac:dyDescent="0.25">
      <c r="E772" s="2"/>
      <c r="H772" s="53"/>
    </row>
    <row r="773" spans="5:8" ht="14.25" customHeight="1" x14ac:dyDescent="0.25">
      <c r="E773" s="2"/>
      <c r="H773" s="53"/>
    </row>
    <row r="774" spans="5:8" ht="14.25" customHeight="1" x14ac:dyDescent="0.25">
      <c r="E774" s="2"/>
      <c r="H774" s="53"/>
    </row>
    <row r="775" spans="5:8" ht="14.25" customHeight="1" x14ac:dyDescent="0.25">
      <c r="E775" s="2"/>
      <c r="H775" s="53"/>
    </row>
    <row r="776" spans="5:8" ht="14.25" customHeight="1" x14ac:dyDescent="0.25">
      <c r="E776" s="2"/>
      <c r="H776" s="53"/>
    </row>
    <row r="777" spans="5:8" ht="14.25" customHeight="1" x14ac:dyDescent="0.25">
      <c r="E777" s="2"/>
      <c r="H777" s="53"/>
    </row>
    <row r="778" spans="5:8" ht="14.25" customHeight="1" x14ac:dyDescent="0.25">
      <c r="E778" s="2"/>
      <c r="H778" s="53"/>
    </row>
    <row r="779" spans="5:8" ht="14.25" customHeight="1" x14ac:dyDescent="0.25">
      <c r="E779" s="2"/>
      <c r="H779" s="53"/>
    </row>
    <row r="780" spans="5:8" ht="14.25" customHeight="1" x14ac:dyDescent="0.25">
      <c r="E780" s="2"/>
      <c r="H780" s="53"/>
    </row>
    <row r="781" spans="5:8" ht="14.25" customHeight="1" x14ac:dyDescent="0.25">
      <c r="E781" s="2"/>
      <c r="H781" s="53"/>
    </row>
    <row r="782" spans="5:8" ht="14.25" customHeight="1" x14ac:dyDescent="0.25">
      <c r="E782" s="2"/>
      <c r="H782" s="53"/>
    </row>
    <row r="783" spans="5:8" ht="14.25" customHeight="1" x14ac:dyDescent="0.25">
      <c r="E783" s="2"/>
      <c r="H783" s="53"/>
    </row>
    <row r="784" spans="5:8" ht="14.25" customHeight="1" x14ac:dyDescent="0.25">
      <c r="E784" s="2"/>
      <c r="H784" s="53"/>
    </row>
    <row r="785" spans="5:8" ht="14.25" customHeight="1" x14ac:dyDescent="0.25">
      <c r="E785" s="2"/>
      <c r="H785" s="53"/>
    </row>
    <row r="786" spans="5:8" ht="14.25" customHeight="1" x14ac:dyDescent="0.25">
      <c r="E786" s="2"/>
      <c r="H786" s="53"/>
    </row>
    <row r="787" spans="5:8" ht="14.25" customHeight="1" x14ac:dyDescent="0.25">
      <c r="E787" s="2"/>
      <c r="H787" s="53"/>
    </row>
    <row r="788" spans="5:8" ht="14.25" customHeight="1" x14ac:dyDescent="0.25">
      <c r="E788" s="2"/>
      <c r="H788" s="53"/>
    </row>
    <row r="789" spans="5:8" ht="14.25" customHeight="1" x14ac:dyDescent="0.25">
      <c r="E789" s="2"/>
      <c r="H789" s="53"/>
    </row>
    <row r="790" spans="5:8" ht="14.25" customHeight="1" x14ac:dyDescent="0.25">
      <c r="E790" s="2"/>
      <c r="H790" s="53"/>
    </row>
    <row r="791" spans="5:8" ht="14.25" customHeight="1" x14ac:dyDescent="0.25">
      <c r="E791" s="2"/>
      <c r="H791" s="53"/>
    </row>
    <row r="792" spans="5:8" ht="14.25" customHeight="1" x14ac:dyDescent="0.25">
      <c r="E792" s="2"/>
      <c r="H792" s="53"/>
    </row>
    <row r="793" spans="5:8" ht="14.25" customHeight="1" x14ac:dyDescent="0.25">
      <c r="E793" s="2"/>
      <c r="H793" s="53"/>
    </row>
    <row r="794" spans="5:8" ht="14.25" customHeight="1" x14ac:dyDescent="0.25">
      <c r="E794" s="2"/>
      <c r="H794" s="53"/>
    </row>
    <row r="795" spans="5:8" ht="14.25" customHeight="1" x14ac:dyDescent="0.25">
      <c r="E795" s="2"/>
      <c r="H795" s="53"/>
    </row>
    <row r="796" spans="5:8" ht="14.25" customHeight="1" x14ac:dyDescent="0.25">
      <c r="E796" s="2"/>
      <c r="H796" s="53"/>
    </row>
    <row r="797" spans="5:8" ht="14.25" customHeight="1" x14ac:dyDescent="0.25">
      <c r="E797" s="2"/>
      <c r="H797" s="53"/>
    </row>
    <row r="798" spans="5:8" ht="14.25" customHeight="1" x14ac:dyDescent="0.25">
      <c r="E798" s="2"/>
      <c r="H798" s="53"/>
    </row>
    <row r="799" spans="5:8" ht="14.25" customHeight="1" x14ac:dyDescent="0.25">
      <c r="E799" s="2"/>
      <c r="H799" s="53"/>
    </row>
    <row r="800" spans="5:8" ht="14.25" customHeight="1" x14ac:dyDescent="0.25">
      <c r="E800" s="2"/>
      <c r="H800" s="53"/>
    </row>
    <row r="801" spans="5:8" ht="14.25" customHeight="1" x14ac:dyDescent="0.25">
      <c r="E801" s="2"/>
      <c r="H801" s="53"/>
    </row>
    <row r="802" spans="5:8" ht="14.25" customHeight="1" x14ac:dyDescent="0.25">
      <c r="E802" s="2"/>
      <c r="H802" s="53"/>
    </row>
    <row r="803" spans="5:8" ht="14.25" customHeight="1" x14ac:dyDescent="0.25">
      <c r="E803" s="2"/>
      <c r="H803" s="53"/>
    </row>
    <row r="804" spans="5:8" ht="14.25" customHeight="1" x14ac:dyDescent="0.25">
      <c r="E804" s="2"/>
      <c r="H804" s="53"/>
    </row>
    <row r="805" spans="5:8" ht="14.25" customHeight="1" x14ac:dyDescent="0.25">
      <c r="E805" s="2"/>
      <c r="H805" s="53"/>
    </row>
    <row r="806" spans="5:8" ht="14.25" customHeight="1" x14ac:dyDescent="0.25">
      <c r="E806" s="2"/>
      <c r="H806" s="53"/>
    </row>
    <row r="807" spans="5:8" ht="14.25" customHeight="1" x14ac:dyDescent="0.25">
      <c r="E807" s="2"/>
      <c r="H807" s="53"/>
    </row>
    <row r="808" spans="5:8" ht="14.25" customHeight="1" x14ac:dyDescent="0.25">
      <c r="E808" s="2"/>
      <c r="H808" s="53"/>
    </row>
    <row r="809" spans="5:8" ht="14.25" customHeight="1" x14ac:dyDescent="0.25">
      <c r="E809" s="2"/>
      <c r="H809" s="53"/>
    </row>
    <row r="810" spans="5:8" ht="14.25" customHeight="1" x14ac:dyDescent="0.25">
      <c r="E810" s="2"/>
      <c r="H810" s="53"/>
    </row>
    <row r="811" spans="5:8" ht="14.25" customHeight="1" x14ac:dyDescent="0.25">
      <c r="E811" s="2"/>
      <c r="H811" s="53"/>
    </row>
    <row r="812" spans="5:8" ht="14.25" customHeight="1" x14ac:dyDescent="0.25">
      <c r="E812" s="2"/>
      <c r="H812" s="53"/>
    </row>
    <row r="813" spans="5:8" ht="14.25" customHeight="1" x14ac:dyDescent="0.25">
      <c r="E813" s="2"/>
      <c r="H813" s="53"/>
    </row>
    <row r="814" spans="5:8" ht="14.25" customHeight="1" x14ac:dyDescent="0.25">
      <c r="E814" s="2"/>
      <c r="H814" s="53"/>
    </row>
    <row r="815" spans="5:8" ht="14.25" customHeight="1" x14ac:dyDescent="0.25">
      <c r="E815" s="2"/>
      <c r="H815" s="53"/>
    </row>
    <row r="816" spans="5:8" ht="14.25" customHeight="1" x14ac:dyDescent="0.25">
      <c r="E816" s="2"/>
      <c r="H816" s="53"/>
    </row>
    <row r="817" spans="5:8" ht="14.25" customHeight="1" x14ac:dyDescent="0.25">
      <c r="E817" s="2"/>
      <c r="H817" s="53"/>
    </row>
    <row r="818" spans="5:8" ht="14.25" customHeight="1" x14ac:dyDescent="0.25">
      <c r="E818" s="2"/>
      <c r="H818" s="53"/>
    </row>
    <row r="819" spans="5:8" ht="14.25" customHeight="1" x14ac:dyDescent="0.25">
      <c r="E819" s="2"/>
      <c r="H819" s="53"/>
    </row>
    <row r="820" spans="5:8" ht="14.25" customHeight="1" x14ac:dyDescent="0.25">
      <c r="E820" s="2"/>
      <c r="H820" s="53"/>
    </row>
    <row r="821" spans="5:8" ht="14.25" customHeight="1" x14ac:dyDescent="0.25">
      <c r="E821" s="2"/>
      <c r="H821" s="53"/>
    </row>
    <row r="822" spans="5:8" ht="14.25" customHeight="1" x14ac:dyDescent="0.25">
      <c r="E822" s="2"/>
      <c r="H822" s="53"/>
    </row>
    <row r="823" spans="5:8" ht="14.25" customHeight="1" x14ac:dyDescent="0.25">
      <c r="E823" s="2"/>
      <c r="H823" s="53"/>
    </row>
    <row r="824" spans="5:8" ht="14.25" customHeight="1" x14ac:dyDescent="0.25">
      <c r="E824" s="2"/>
      <c r="H824" s="53"/>
    </row>
    <row r="825" spans="5:8" ht="14.25" customHeight="1" x14ac:dyDescent="0.25">
      <c r="E825" s="2"/>
      <c r="H825" s="53"/>
    </row>
    <row r="826" spans="5:8" ht="14.25" customHeight="1" x14ac:dyDescent="0.25">
      <c r="E826" s="2"/>
      <c r="H826" s="53"/>
    </row>
    <row r="827" spans="5:8" ht="14.25" customHeight="1" x14ac:dyDescent="0.25">
      <c r="E827" s="2"/>
      <c r="H827" s="53"/>
    </row>
    <row r="828" spans="5:8" ht="14.25" customHeight="1" x14ac:dyDescent="0.25">
      <c r="E828" s="2"/>
      <c r="H828" s="53"/>
    </row>
    <row r="829" spans="5:8" ht="14.25" customHeight="1" x14ac:dyDescent="0.25">
      <c r="E829" s="2"/>
      <c r="H829" s="53"/>
    </row>
    <row r="830" spans="5:8" ht="14.25" customHeight="1" x14ac:dyDescent="0.25">
      <c r="E830" s="2"/>
      <c r="H830" s="53"/>
    </row>
    <row r="831" spans="5:8" ht="14.25" customHeight="1" x14ac:dyDescent="0.25">
      <c r="E831" s="2"/>
      <c r="H831" s="53"/>
    </row>
    <row r="832" spans="5:8" ht="14.25" customHeight="1" x14ac:dyDescent="0.25">
      <c r="E832" s="2"/>
      <c r="H832" s="53"/>
    </row>
    <row r="833" spans="5:8" ht="14.25" customHeight="1" x14ac:dyDescent="0.25">
      <c r="E833" s="2"/>
      <c r="H833" s="53"/>
    </row>
    <row r="834" spans="5:8" ht="14.25" customHeight="1" x14ac:dyDescent="0.25">
      <c r="E834" s="2"/>
      <c r="H834" s="53"/>
    </row>
    <row r="835" spans="5:8" ht="14.25" customHeight="1" x14ac:dyDescent="0.25">
      <c r="E835" s="2"/>
      <c r="H835" s="53"/>
    </row>
    <row r="836" spans="5:8" ht="14.25" customHeight="1" x14ac:dyDescent="0.25">
      <c r="E836" s="2"/>
      <c r="H836" s="53"/>
    </row>
    <row r="837" spans="5:8" ht="14.25" customHeight="1" x14ac:dyDescent="0.25">
      <c r="E837" s="2"/>
      <c r="H837" s="53"/>
    </row>
    <row r="838" spans="5:8" ht="14.25" customHeight="1" x14ac:dyDescent="0.25">
      <c r="E838" s="2"/>
      <c r="H838" s="53"/>
    </row>
    <row r="839" spans="5:8" ht="14.25" customHeight="1" x14ac:dyDescent="0.25">
      <c r="E839" s="2"/>
      <c r="H839" s="53"/>
    </row>
    <row r="840" spans="5:8" ht="14.25" customHeight="1" x14ac:dyDescent="0.25">
      <c r="E840" s="2"/>
      <c r="H840" s="53"/>
    </row>
    <row r="841" spans="5:8" ht="14.25" customHeight="1" x14ac:dyDescent="0.25">
      <c r="E841" s="2"/>
      <c r="H841" s="53"/>
    </row>
    <row r="842" spans="5:8" ht="14.25" customHeight="1" x14ac:dyDescent="0.25">
      <c r="E842" s="2"/>
      <c r="H842" s="53"/>
    </row>
    <row r="843" spans="5:8" ht="14.25" customHeight="1" x14ac:dyDescent="0.25">
      <c r="E843" s="2"/>
      <c r="H843" s="53"/>
    </row>
    <row r="844" spans="5:8" ht="14.25" customHeight="1" x14ac:dyDescent="0.25">
      <c r="E844" s="2"/>
      <c r="H844" s="53"/>
    </row>
    <row r="845" spans="5:8" ht="14.25" customHeight="1" x14ac:dyDescent="0.25">
      <c r="E845" s="2"/>
      <c r="H845" s="53"/>
    </row>
    <row r="846" spans="5:8" ht="14.25" customHeight="1" x14ac:dyDescent="0.25">
      <c r="E846" s="2"/>
      <c r="H846" s="53"/>
    </row>
    <row r="847" spans="5:8" ht="14.25" customHeight="1" x14ac:dyDescent="0.25">
      <c r="E847" s="2"/>
      <c r="H847" s="53"/>
    </row>
    <row r="848" spans="5:8" ht="14.25" customHeight="1" x14ac:dyDescent="0.25">
      <c r="E848" s="2"/>
      <c r="H848" s="53"/>
    </row>
    <row r="849" spans="5:8" ht="14.25" customHeight="1" x14ac:dyDescent="0.25">
      <c r="E849" s="2"/>
      <c r="H849" s="53"/>
    </row>
    <row r="850" spans="5:8" ht="14.25" customHeight="1" x14ac:dyDescent="0.25">
      <c r="E850" s="2"/>
      <c r="H850" s="53"/>
    </row>
    <row r="851" spans="5:8" ht="14.25" customHeight="1" x14ac:dyDescent="0.25">
      <c r="E851" s="2"/>
      <c r="H851" s="53"/>
    </row>
    <row r="852" spans="5:8" ht="14.25" customHeight="1" x14ac:dyDescent="0.25">
      <c r="E852" s="2"/>
      <c r="H852" s="53"/>
    </row>
    <row r="853" spans="5:8" ht="14.25" customHeight="1" x14ac:dyDescent="0.25">
      <c r="E853" s="2"/>
      <c r="H853" s="53"/>
    </row>
    <row r="854" spans="5:8" ht="14.25" customHeight="1" x14ac:dyDescent="0.25">
      <c r="E854" s="2"/>
      <c r="H854" s="53"/>
    </row>
    <row r="855" spans="5:8" ht="14.25" customHeight="1" x14ac:dyDescent="0.25">
      <c r="E855" s="2"/>
      <c r="H855" s="53"/>
    </row>
    <row r="856" spans="5:8" ht="14.25" customHeight="1" x14ac:dyDescent="0.25">
      <c r="E856" s="2"/>
      <c r="H856" s="53"/>
    </row>
    <row r="857" spans="5:8" ht="14.25" customHeight="1" x14ac:dyDescent="0.25">
      <c r="E857" s="2"/>
      <c r="H857" s="53"/>
    </row>
    <row r="858" spans="5:8" ht="14.25" customHeight="1" x14ac:dyDescent="0.25">
      <c r="E858" s="2"/>
      <c r="H858" s="53"/>
    </row>
    <row r="859" spans="5:8" ht="14.25" customHeight="1" x14ac:dyDescent="0.25">
      <c r="E859" s="2"/>
      <c r="H859" s="53"/>
    </row>
    <row r="860" spans="5:8" ht="14.25" customHeight="1" x14ac:dyDescent="0.25">
      <c r="E860" s="2"/>
      <c r="H860" s="53"/>
    </row>
    <row r="861" spans="5:8" ht="14.25" customHeight="1" x14ac:dyDescent="0.25">
      <c r="E861" s="2"/>
      <c r="H861" s="53"/>
    </row>
    <row r="862" spans="5:8" ht="14.25" customHeight="1" x14ac:dyDescent="0.25">
      <c r="E862" s="2"/>
      <c r="H862" s="53"/>
    </row>
    <row r="863" spans="5:8" ht="14.25" customHeight="1" x14ac:dyDescent="0.25">
      <c r="E863" s="2"/>
      <c r="H863" s="53"/>
    </row>
    <row r="864" spans="5:8" ht="14.25" customHeight="1" x14ac:dyDescent="0.25">
      <c r="E864" s="2"/>
      <c r="H864" s="53"/>
    </row>
    <row r="865" spans="5:8" ht="14.25" customHeight="1" x14ac:dyDescent="0.25">
      <c r="E865" s="2"/>
      <c r="H865" s="53"/>
    </row>
    <row r="866" spans="5:8" ht="14.25" customHeight="1" x14ac:dyDescent="0.25">
      <c r="E866" s="2"/>
      <c r="H866" s="53"/>
    </row>
    <row r="867" spans="5:8" ht="14.25" customHeight="1" x14ac:dyDescent="0.25">
      <c r="E867" s="2"/>
      <c r="H867" s="53"/>
    </row>
    <row r="868" spans="5:8" ht="14.25" customHeight="1" x14ac:dyDescent="0.25">
      <c r="E868" s="2"/>
      <c r="H868" s="53"/>
    </row>
    <row r="869" spans="5:8" ht="14.25" customHeight="1" x14ac:dyDescent="0.25">
      <c r="E869" s="2"/>
      <c r="H869" s="53"/>
    </row>
    <row r="870" spans="5:8" ht="14.25" customHeight="1" x14ac:dyDescent="0.25">
      <c r="E870" s="2"/>
      <c r="H870" s="53"/>
    </row>
    <row r="871" spans="5:8" ht="14.25" customHeight="1" x14ac:dyDescent="0.25">
      <c r="E871" s="2"/>
      <c r="H871" s="53"/>
    </row>
    <row r="872" spans="5:8" ht="14.25" customHeight="1" x14ac:dyDescent="0.25">
      <c r="E872" s="2"/>
      <c r="H872" s="53"/>
    </row>
    <row r="873" spans="5:8" ht="14.25" customHeight="1" x14ac:dyDescent="0.25">
      <c r="E873" s="2"/>
      <c r="H873" s="53"/>
    </row>
    <row r="874" spans="5:8" ht="14.25" customHeight="1" x14ac:dyDescent="0.25">
      <c r="E874" s="2"/>
      <c r="H874" s="53"/>
    </row>
    <row r="875" spans="5:8" ht="14.25" customHeight="1" x14ac:dyDescent="0.25">
      <c r="E875" s="2"/>
      <c r="H875" s="53"/>
    </row>
    <row r="876" spans="5:8" ht="14.25" customHeight="1" x14ac:dyDescent="0.25">
      <c r="E876" s="2"/>
      <c r="H876" s="53"/>
    </row>
    <row r="877" spans="5:8" ht="14.25" customHeight="1" x14ac:dyDescent="0.25">
      <c r="E877" s="2"/>
      <c r="H877" s="53"/>
    </row>
    <row r="878" spans="5:8" ht="14.25" customHeight="1" x14ac:dyDescent="0.25">
      <c r="E878" s="2"/>
      <c r="H878" s="53"/>
    </row>
    <row r="879" spans="5:8" ht="14.25" customHeight="1" x14ac:dyDescent="0.25">
      <c r="E879" s="2"/>
      <c r="H879" s="53"/>
    </row>
    <row r="880" spans="5:8" ht="14.25" customHeight="1" x14ac:dyDescent="0.25">
      <c r="E880" s="2"/>
      <c r="H880" s="53"/>
    </row>
    <row r="881" spans="5:8" ht="14.25" customHeight="1" x14ac:dyDescent="0.25">
      <c r="E881" s="2"/>
      <c r="H881" s="53"/>
    </row>
    <row r="882" spans="5:8" ht="14.25" customHeight="1" x14ac:dyDescent="0.25">
      <c r="E882" s="2"/>
      <c r="H882" s="53"/>
    </row>
    <row r="883" spans="5:8" ht="14.25" customHeight="1" x14ac:dyDescent="0.25">
      <c r="E883" s="2"/>
      <c r="H883" s="53"/>
    </row>
    <row r="884" spans="5:8" ht="14.25" customHeight="1" x14ac:dyDescent="0.25">
      <c r="E884" s="2"/>
      <c r="H884" s="53"/>
    </row>
    <row r="885" spans="5:8" ht="14.25" customHeight="1" x14ac:dyDescent="0.25">
      <c r="E885" s="2"/>
      <c r="H885" s="53"/>
    </row>
    <row r="886" spans="5:8" ht="14.25" customHeight="1" x14ac:dyDescent="0.25">
      <c r="E886" s="2"/>
      <c r="H886" s="53"/>
    </row>
    <row r="887" spans="5:8" ht="14.25" customHeight="1" x14ac:dyDescent="0.25">
      <c r="E887" s="2"/>
      <c r="H887" s="53"/>
    </row>
    <row r="888" spans="5:8" ht="14.25" customHeight="1" x14ac:dyDescent="0.25">
      <c r="E888" s="2"/>
      <c r="H888" s="53"/>
    </row>
    <row r="889" spans="5:8" ht="14.25" customHeight="1" x14ac:dyDescent="0.25">
      <c r="E889" s="2"/>
      <c r="H889" s="53"/>
    </row>
    <row r="890" spans="5:8" ht="14.25" customHeight="1" x14ac:dyDescent="0.25">
      <c r="E890" s="2"/>
      <c r="H890" s="53"/>
    </row>
    <row r="891" spans="5:8" ht="14.25" customHeight="1" x14ac:dyDescent="0.25">
      <c r="E891" s="2"/>
      <c r="H891" s="53"/>
    </row>
    <row r="892" spans="5:8" ht="14.25" customHeight="1" x14ac:dyDescent="0.25">
      <c r="E892" s="2"/>
      <c r="H892" s="53"/>
    </row>
    <row r="893" spans="5:8" ht="14.25" customHeight="1" x14ac:dyDescent="0.25">
      <c r="E893" s="2"/>
      <c r="H893" s="53"/>
    </row>
    <row r="894" spans="5:8" ht="14.25" customHeight="1" x14ac:dyDescent="0.25">
      <c r="E894" s="2"/>
      <c r="H894" s="53"/>
    </row>
    <row r="895" spans="5:8" ht="14.25" customHeight="1" x14ac:dyDescent="0.25">
      <c r="E895" s="2"/>
      <c r="H895" s="53"/>
    </row>
    <row r="896" spans="5:8" ht="14.25" customHeight="1" x14ac:dyDescent="0.25">
      <c r="E896" s="2"/>
      <c r="H896" s="53"/>
    </row>
    <row r="897" spans="5:8" ht="14.25" customHeight="1" x14ac:dyDescent="0.25">
      <c r="E897" s="2"/>
      <c r="H897" s="53"/>
    </row>
    <row r="898" spans="5:8" ht="14.25" customHeight="1" x14ac:dyDescent="0.25">
      <c r="E898" s="2"/>
      <c r="H898" s="53"/>
    </row>
    <row r="899" spans="5:8" ht="14.25" customHeight="1" x14ac:dyDescent="0.25">
      <c r="E899" s="2"/>
      <c r="H899" s="53"/>
    </row>
    <row r="900" spans="5:8" ht="14.25" customHeight="1" x14ac:dyDescent="0.25">
      <c r="E900" s="2"/>
      <c r="H900" s="53"/>
    </row>
    <row r="901" spans="5:8" ht="14.25" customHeight="1" x14ac:dyDescent="0.25">
      <c r="E901" s="2"/>
      <c r="H901" s="53"/>
    </row>
    <row r="902" spans="5:8" ht="14.25" customHeight="1" x14ac:dyDescent="0.25">
      <c r="E902" s="2"/>
      <c r="H902" s="53"/>
    </row>
    <row r="903" spans="5:8" ht="14.25" customHeight="1" x14ac:dyDescent="0.25">
      <c r="E903" s="2"/>
      <c r="H903" s="53"/>
    </row>
    <row r="904" spans="5:8" ht="14.25" customHeight="1" x14ac:dyDescent="0.25">
      <c r="E904" s="2"/>
      <c r="H904" s="53"/>
    </row>
    <row r="905" spans="5:8" ht="14.25" customHeight="1" x14ac:dyDescent="0.25">
      <c r="E905" s="2"/>
      <c r="H905" s="53"/>
    </row>
    <row r="906" spans="5:8" ht="14.25" customHeight="1" x14ac:dyDescent="0.25">
      <c r="E906" s="2"/>
      <c r="H906" s="53"/>
    </row>
    <row r="907" spans="5:8" ht="14.25" customHeight="1" x14ac:dyDescent="0.25">
      <c r="E907" s="2"/>
      <c r="H907" s="53"/>
    </row>
    <row r="908" spans="5:8" ht="14.25" customHeight="1" x14ac:dyDescent="0.25">
      <c r="E908" s="2"/>
      <c r="H908" s="53"/>
    </row>
    <row r="909" spans="5:8" ht="14.25" customHeight="1" x14ac:dyDescent="0.25">
      <c r="E909" s="2"/>
      <c r="H909" s="53"/>
    </row>
    <row r="910" spans="5:8" ht="14.25" customHeight="1" x14ac:dyDescent="0.25">
      <c r="E910" s="2"/>
      <c r="H910" s="53"/>
    </row>
    <row r="911" spans="5:8" ht="14.25" customHeight="1" x14ac:dyDescent="0.25">
      <c r="E911" s="2"/>
      <c r="H911" s="53"/>
    </row>
    <row r="912" spans="5:8" ht="14.25" customHeight="1" x14ac:dyDescent="0.25">
      <c r="E912" s="2"/>
      <c r="H912" s="53"/>
    </row>
    <row r="913" spans="5:8" ht="14.25" customHeight="1" x14ac:dyDescent="0.25">
      <c r="E913" s="2"/>
      <c r="H913" s="53"/>
    </row>
    <row r="914" spans="5:8" ht="14.25" customHeight="1" x14ac:dyDescent="0.25">
      <c r="E914" s="2"/>
      <c r="H914" s="53"/>
    </row>
    <row r="915" spans="5:8" ht="14.25" customHeight="1" x14ac:dyDescent="0.25">
      <c r="E915" s="2"/>
      <c r="H915" s="53"/>
    </row>
    <row r="916" spans="5:8" ht="14.25" customHeight="1" x14ac:dyDescent="0.25">
      <c r="E916" s="2"/>
      <c r="H916" s="53"/>
    </row>
    <row r="917" spans="5:8" ht="14.25" customHeight="1" x14ac:dyDescent="0.25">
      <c r="E917" s="2"/>
      <c r="H917" s="53"/>
    </row>
    <row r="918" spans="5:8" ht="14.25" customHeight="1" x14ac:dyDescent="0.25">
      <c r="E918" s="2"/>
      <c r="H918" s="53"/>
    </row>
    <row r="919" spans="5:8" ht="14.25" customHeight="1" x14ac:dyDescent="0.25">
      <c r="E919" s="2"/>
      <c r="H919" s="53"/>
    </row>
    <row r="920" spans="5:8" ht="14.25" customHeight="1" x14ac:dyDescent="0.25">
      <c r="E920" s="2"/>
      <c r="H920" s="53"/>
    </row>
    <row r="921" spans="5:8" ht="14.25" customHeight="1" x14ac:dyDescent="0.25">
      <c r="E921" s="2"/>
      <c r="H921" s="53"/>
    </row>
    <row r="922" spans="5:8" ht="14.25" customHeight="1" x14ac:dyDescent="0.25">
      <c r="E922" s="2"/>
      <c r="H922" s="53"/>
    </row>
    <row r="923" spans="5:8" ht="14.25" customHeight="1" x14ac:dyDescent="0.25">
      <c r="E923" s="2"/>
      <c r="H923" s="53"/>
    </row>
    <row r="924" spans="5:8" ht="14.25" customHeight="1" x14ac:dyDescent="0.25">
      <c r="E924" s="2"/>
      <c r="H924" s="53"/>
    </row>
    <row r="925" spans="5:8" ht="14.25" customHeight="1" x14ac:dyDescent="0.25">
      <c r="E925" s="2"/>
      <c r="H925" s="53"/>
    </row>
    <row r="926" spans="5:8" ht="14.25" customHeight="1" x14ac:dyDescent="0.25">
      <c r="E926" s="2"/>
      <c r="H926" s="53"/>
    </row>
    <row r="927" spans="5:8" ht="14.25" customHeight="1" x14ac:dyDescent="0.25">
      <c r="E927" s="2"/>
      <c r="H927" s="53"/>
    </row>
    <row r="928" spans="5:8" ht="14.25" customHeight="1" x14ac:dyDescent="0.25">
      <c r="E928" s="2"/>
      <c r="H928" s="53"/>
    </row>
    <row r="929" spans="5:8" ht="14.25" customHeight="1" x14ac:dyDescent="0.25">
      <c r="E929" s="2"/>
      <c r="H929" s="53"/>
    </row>
    <row r="930" spans="5:8" ht="14.25" customHeight="1" x14ac:dyDescent="0.25">
      <c r="E930" s="2"/>
      <c r="H930" s="53"/>
    </row>
    <row r="931" spans="5:8" ht="14.25" customHeight="1" x14ac:dyDescent="0.25">
      <c r="E931" s="2"/>
      <c r="H931" s="53"/>
    </row>
    <row r="932" spans="5:8" ht="14.25" customHeight="1" x14ac:dyDescent="0.25">
      <c r="E932" s="2"/>
      <c r="H932" s="53"/>
    </row>
    <row r="933" spans="5:8" ht="14.25" customHeight="1" x14ac:dyDescent="0.25">
      <c r="E933" s="2"/>
      <c r="H933" s="53"/>
    </row>
    <row r="934" spans="5:8" ht="14.25" customHeight="1" x14ac:dyDescent="0.25">
      <c r="E934" s="2"/>
      <c r="H934" s="53"/>
    </row>
    <row r="935" spans="5:8" ht="14.25" customHeight="1" x14ac:dyDescent="0.25">
      <c r="E935" s="2"/>
      <c r="H935" s="53"/>
    </row>
    <row r="936" spans="5:8" ht="14.25" customHeight="1" x14ac:dyDescent="0.25">
      <c r="E936" s="2"/>
      <c r="H936" s="53"/>
    </row>
    <row r="937" spans="5:8" ht="14.25" customHeight="1" x14ac:dyDescent="0.25">
      <c r="E937" s="2"/>
      <c r="H937" s="53"/>
    </row>
    <row r="938" spans="5:8" ht="14.25" customHeight="1" x14ac:dyDescent="0.25">
      <c r="E938" s="2"/>
      <c r="H938" s="53"/>
    </row>
    <row r="939" spans="5:8" ht="14.25" customHeight="1" x14ac:dyDescent="0.25">
      <c r="E939" s="2"/>
      <c r="H939" s="53"/>
    </row>
    <row r="940" spans="5:8" ht="14.25" customHeight="1" x14ac:dyDescent="0.25">
      <c r="E940" s="2"/>
      <c r="H940" s="53"/>
    </row>
    <row r="941" spans="5:8" ht="14.25" customHeight="1" x14ac:dyDescent="0.25">
      <c r="E941" s="2"/>
      <c r="H941" s="53"/>
    </row>
    <row r="942" spans="5:8" ht="14.25" customHeight="1" x14ac:dyDescent="0.25">
      <c r="E942" s="2"/>
      <c r="H942" s="53"/>
    </row>
    <row r="943" spans="5:8" ht="14.25" customHeight="1" x14ac:dyDescent="0.25">
      <c r="E943" s="2"/>
      <c r="H943" s="53"/>
    </row>
    <row r="944" spans="5:8" ht="14.25" customHeight="1" x14ac:dyDescent="0.25">
      <c r="E944" s="2"/>
      <c r="H944" s="53"/>
    </row>
    <row r="945" spans="5:8" ht="14.25" customHeight="1" x14ac:dyDescent="0.25">
      <c r="E945" s="2"/>
      <c r="H945" s="53"/>
    </row>
    <row r="946" spans="5:8" ht="14.25" customHeight="1" x14ac:dyDescent="0.25">
      <c r="E946" s="2"/>
      <c r="H946" s="53"/>
    </row>
    <row r="947" spans="5:8" ht="14.25" customHeight="1" x14ac:dyDescent="0.25">
      <c r="E947" s="2"/>
      <c r="H947" s="53"/>
    </row>
    <row r="948" spans="5:8" ht="14.25" customHeight="1" x14ac:dyDescent="0.25">
      <c r="E948" s="2"/>
      <c r="H948" s="53"/>
    </row>
    <row r="949" spans="5:8" ht="14.25" customHeight="1" x14ac:dyDescent="0.25">
      <c r="E949" s="2"/>
      <c r="H949" s="53"/>
    </row>
    <row r="950" spans="5:8" ht="14.25" customHeight="1" x14ac:dyDescent="0.25">
      <c r="E950" s="2"/>
      <c r="H950" s="53"/>
    </row>
    <row r="951" spans="5:8" ht="14.25" customHeight="1" x14ac:dyDescent="0.25">
      <c r="E951" s="2"/>
      <c r="H951" s="53"/>
    </row>
    <row r="952" spans="5:8" ht="14.25" customHeight="1" x14ac:dyDescent="0.25">
      <c r="E952" s="2"/>
      <c r="H952" s="53"/>
    </row>
    <row r="953" spans="5:8" ht="14.25" customHeight="1" x14ac:dyDescent="0.25">
      <c r="E953" s="2"/>
      <c r="H953" s="53"/>
    </row>
    <row r="954" spans="5:8" ht="14.25" customHeight="1" x14ac:dyDescent="0.25">
      <c r="E954" s="2"/>
      <c r="H954" s="53"/>
    </row>
    <row r="955" spans="5:8" ht="14.25" customHeight="1" x14ac:dyDescent="0.25">
      <c r="E955" s="2"/>
      <c r="H955" s="53"/>
    </row>
    <row r="956" spans="5:8" ht="14.25" customHeight="1" x14ac:dyDescent="0.25">
      <c r="E956" s="2"/>
      <c r="H956" s="53"/>
    </row>
    <row r="957" spans="5:8" ht="14.25" customHeight="1" x14ac:dyDescent="0.25">
      <c r="E957" s="2"/>
      <c r="H957" s="53"/>
    </row>
    <row r="958" spans="5:8" ht="14.25" customHeight="1" x14ac:dyDescent="0.25">
      <c r="E958" s="2"/>
      <c r="H958" s="53"/>
    </row>
    <row r="959" spans="5:8" ht="14.25" customHeight="1" x14ac:dyDescent="0.25">
      <c r="E959" s="2"/>
      <c r="H959" s="53"/>
    </row>
    <row r="960" spans="5:8" ht="14.25" customHeight="1" x14ac:dyDescent="0.25">
      <c r="E960" s="2"/>
      <c r="H960" s="53"/>
    </row>
    <row r="961" spans="5:8" ht="14.25" customHeight="1" x14ac:dyDescent="0.25">
      <c r="E961" s="2"/>
      <c r="H961" s="53"/>
    </row>
    <row r="962" spans="5:8" ht="14.25" customHeight="1" x14ac:dyDescent="0.25">
      <c r="E962" s="2"/>
      <c r="H962" s="53"/>
    </row>
    <row r="963" spans="5:8" ht="14.25" customHeight="1" x14ac:dyDescent="0.25">
      <c r="E963" s="2"/>
      <c r="H963" s="53"/>
    </row>
    <row r="964" spans="5:8" ht="14.25" customHeight="1" x14ac:dyDescent="0.25">
      <c r="E964" s="2"/>
      <c r="H964" s="53"/>
    </row>
    <row r="965" spans="5:8" ht="14.25" customHeight="1" x14ac:dyDescent="0.25">
      <c r="E965" s="2"/>
      <c r="H965" s="53"/>
    </row>
    <row r="966" spans="5:8" ht="14.25" customHeight="1" x14ac:dyDescent="0.25">
      <c r="E966" s="2"/>
      <c r="H966" s="53"/>
    </row>
    <row r="967" spans="5:8" ht="14.25" customHeight="1" x14ac:dyDescent="0.25">
      <c r="E967" s="2"/>
      <c r="H967" s="53"/>
    </row>
    <row r="968" spans="5:8" ht="14.25" customHeight="1" x14ac:dyDescent="0.25">
      <c r="E968" s="2"/>
      <c r="H968" s="53"/>
    </row>
    <row r="969" spans="5:8" ht="14.25" customHeight="1" x14ac:dyDescent="0.25">
      <c r="E969" s="2"/>
      <c r="H969" s="53"/>
    </row>
    <row r="970" spans="5:8" ht="14.25" customHeight="1" x14ac:dyDescent="0.25">
      <c r="E970" s="2"/>
      <c r="H970" s="53"/>
    </row>
    <row r="971" spans="5:8" ht="14.25" customHeight="1" x14ac:dyDescent="0.25">
      <c r="E971" s="2"/>
      <c r="H971" s="53"/>
    </row>
    <row r="972" spans="5:8" ht="14.25" customHeight="1" x14ac:dyDescent="0.25">
      <c r="E972" s="2"/>
      <c r="H972" s="53"/>
    </row>
    <row r="973" spans="5:8" ht="14.25" customHeight="1" x14ac:dyDescent="0.25">
      <c r="E973" s="2"/>
      <c r="H973" s="53"/>
    </row>
    <row r="974" spans="5:8" ht="14.25" customHeight="1" x14ac:dyDescent="0.25">
      <c r="E974" s="2"/>
      <c r="H974" s="53"/>
    </row>
    <row r="975" spans="5:8" ht="14.25" customHeight="1" x14ac:dyDescent="0.25">
      <c r="E975" s="2"/>
      <c r="H975" s="53"/>
    </row>
    <row r="976" spans="5:8" ht="14.25" customHeight="1" x14ac:dyDescent="0.25">
      <c r="E976" s="2"/>
      <c r="H976" s="53"/>
    </row>
    <row r="977" spans="5:8" ht="14.25" customHeight="1" x14ac:dyDescent="0.25">
      <c r="E977" s="2"/>
      <c r="H977" s="53"/>
    </row>
    <row r="978" spans="5:8" ht="14.25" customHeight="1" x14ac:dyDescent="0.25">
      <c r="E978" s="2"/>
      <c r="H978" s="53"/>
    </row>
    <row r="979" spans="5:8" ht="14.25" customHeight="1" x14ac:dyDescent="0.25">
      <c r="E979" s="2"/>
      <c r="H979" s="53"/>
    </row>
    <row r="980" spans="5:8" ht="14.25" customHeight="1" x14ac:dyDescent="0.25">
      <c r="E980" s="2"/>
      <c r="H980" s="53"/>
    </row>
    <row r="981" spans="5:8" ht="14.25" customHeight="1" x14ac:dyDescent="0.25">
      <c r="E981" s="2"/>
      <c r="H981" s="53"/>
    </row>
    <row r="982" spans="5:8" ht="14.25" customHeight="1" x14ac:dyDescent="0.25">
      <c r="E982" s="2"/>
      <c r="H982" s="53"/>
    </row>
    <row r="983" spans="5:8" ht="14.25" customHeight="1" x14ac:dyDescent="0.25">
      <c r="E983" s="2"/>
      <c r="H983" s="53"/>
    </row>
    <row r="984" spans="5:8" ht="14.25" customHeight="1" x14ac:dyDescent="0.25">
      <c r="E984" s="2"/>
      <c r="H984" s="53"/>
    </row>
    <row r="985" spans="5:8" ht="14.25" customHeight="1" x14ac:dyDescent="0.25">
      <c r="E985" s="2"/>
      <c r="H985" s="53"/>
    </row>
    <row r="986" spans="5:8" ht="14.25" customHeight="1" x14ac:dyDescent="0.25">
      <c r="E986" s="2"/>
      <c r="H986" s="53"/>
    </row>
    <row r="987" spans="5:8" ht="14.25" customHeight="1" x14ac:dyDescent="0.25">
      <c r="E987" s="2"/>
      <c r="H987" s="53"/>
    </row>
    <row r="988" spans="5:8" ht="14.25" customHeight="1" x14ac:dyDescent="0.25">
      <c r="E988" s="2"/>
      <c r="H988" s="53"/>
    </row>
    <row r="989" spans="5:8" ht="14.25" customHeight="1" x14ac:dyDescent="0.25">
      <c r="E989" s="2"/>
      <c r="H989" s="53"/>
    </row>
    <row r="990" spans="5:8" ht="14.25" customHeight="1" x14ac:dyDescent="0.25">
      <c r="E990" s="2"/>
      <c r="H990" s="53"/>
    </row>
    <row r="991" spans="5:8" ht="14.25" customHeight="1" x14ac:dyDescent="0.25">
      <c r="E991" s="2"/>
      <c r="H991" s="53"/>
    </row>
    <row r="992" spans="5:8" ht="14.25" customHeight="1" x14ac:dyDescent="0.25">
      <c r="E992" s="2"/>
      <c r="H992" s="53"/>
    </row>
    <row r="993" spans="5:8" ht="14.25" customHeight="1" x14ac:dyDescent="0.25">
      <c r="E993" s="2"/>
      <c r="H993" s="53"/>
    </row>
    <row r="994" spans="5:8" ht="14.25" customHeight="1" x14ac:dyDescent="0.25">
      <c r="E994" s="2"/>
      <c r="H994" s="53"/>
    </row>
    <row r="995" spans="5:8" ht="14.25" customHeight="1" x14ac:dyDescent="0.25">
      <c r="E995" s="2"/>
      <c r="H995" s="53"/>
    </row>
    <row r="996" spans="5:8" ht="14.25" customHeight="1" x14ac:dyDescent="0.25">
      <c r="E996" s="2"/>
      <c r="H996" s="53"/>
    </row>
    <row r="997" spans="5:8" ht="14.25" customHeight="1" x14ac:dyDescent="0.25">
      <c r="E997" s="2"/>
      <c r="H997" s="53"/>
    </row>
    <row r="998" spans="5:8" ht="14.25" customHeight="1" x14ac:dyDescent="0.25">
      <c r="E998" s="2"/>
      <c r="H998" s="53"/>
    </row>
    <row r="999" spans="5:8" ht="14.25" customHeight="1" x14ac:dyDescent="0.25">
      <c r="E999" s="2"/>
      <c r="H999" s="53"/>
    </row>
    <row r="1000" spans="5:8" ht="14.25" customHeight="1" x14ac:dyDescent="0.25">
      <c r="E1000" s="2"/>
      <c r="H1000" s="53"/>
    </row>
    <row r="1001" spans="5:8" ht="14.25" customHeight="1" x14ac:dyDescent="0.25">
      <c r="E1001" s="2"/>
      <c r="H1001" s="53"/>
    </row>
    <row r="1002" spans="5:8" ht="14.25" customHeight="1" x14ac:dyDescent="0.25">
      <c r="E1002" s="2"/>
      <c r="H1002" s="53"/>
    </row>
  </sheetData>
  <mergeCells count="111">
    <mergeCell ref="B49:C49"/>
    <mergeCell ref="J20:J21"/>
    <mergeCell ref="K20:K21"/>
    <mergeCell ref="F20:F21"/>
    <mergeCell ref="B20:C21"/>
    <mergeCell ref="L26:L27"/>
    <mergeCell ref="K47:K48"/>
    <mergeCell ref="B50:C50"/>
    <mergeCell ref="G26:G27"/>
    <mergeCell ref="H26:H27"/>
    <mergeCell ref="I26:I27"/>
    <mergeCell ref="J26:J27"/>
    <mergeCell ref="K26:K27"/>
    <mergeCell ref="L20:L21"/>
    <mergeCell ref="D39:F39"/>
    <mergeCell ref="K39:L39"/>
    <mergeCell ref="D41:F41"/>
    <mergeCell ref="K41:L41"/>
    <mergeCell ref="K38:L38"/>
    <mergeCell ref="D38:F38"/>
    <mergeCell ref="G37:J41"/>
    <mergeCell ref="A38:C38"/>
    <mergeCell ref="A47:A48"/>
    <mergeCell ref="B47:C48"/>
    <mergeCell ref="A35:C36"/>
    <mergeCell ref="L18:L19"/>
    <mergeCell ref="A24:A25"/>
    <mergeCell ref="B24:C25"/>
    <mergeCell ref="G24:G25"/>
    <mergeCell ref="H24:H25"/>
    <mergeCell ref="I24:I25"/>
    <mergeCell ref="J24:J25"/>
    <mergeCell ref="K24:K25"/>
    <mergeCell ref="L24:L25"/>
    <mergeCell ref="F22:F23"/>
    <mergeCell ref="H22:H23"/>
    <mergeCell ref="I22:I23"/>
    <mergeCell ref="J22:J23"/>
    <mergeCell ref="K22:K23"/>
    <mergeCell ref="A18:A19"/>
    <mergeCell ref="I18:I19"/>
    <mergeCell ref="J18:J19"/>
    <mergeCell ref="K18:K19"/>
    <mergeCell ref="H18:H19"/>
    <mergeCell ref="F18:F19"/>
    <mergeCell ref="B18:C19"/>
    <mergeCell ref="H20:H21"/>
    <mergeCell ref="A20:A21"/>
    <mergeCell ref="I20:I21"/>
    <mergeCell ref="A26:A27"/>
    <mergeCell ref="D61:I61"/>
    <mergeCell ref="D45:D46"/>
    <mergeCell ref="E45:E46"/>
    <mergeCell ref="F45:F46"/>
    <mergeCell ref="K42:L42"/>
    <mergeCell ref="K43:L43"/>
    <mergeCell ref="H45:H46"/>
    <mergeCell ref="G45:G46"/>
    <mergeCell ref="D60:I60"/>
    <mergeCell ref="D59:I59"/>
    <mergeCell ref="L47:L48"/>
    <mergeCell ref="H47:H48"/>
    <mergeCell ref="A56:C56"/>
    <mergeCell ref="H56:L56"/>
    <mergeCell ref="A57:C57"/>
    <mergeCell ref="H57:L57"/>
    <mergeCell ref="K35:L36"/>
    <mergeCell ref="D37:F37"/>
    <mergeCell ref="K37:L37"/>
    <mergeCell ref="A51:C51"/>
    <mergeCell ref="A40:C40"/>
    <mergeCell ref="D40:F40"/>
    <mergeCell ref="K40:L40"/>
    <mergeCell ref="B28:C28"/>
    <mergeCell ref="A30:A31"/>
    <mergeCell ref="B30:C31"/>
    <mergeCell ref="A37:C37"/>
    <mergeCell ref="A32:C32"/>
    <mergeCell ref="B26:C27"/>
    <mergeCell ref="A7:L7"/>
    <mergeCell ref="A2:L2"/>
    <mergeCell ref="A3:L3"/>
    <mergeCell ref="A4:L4"/>
    <mergeCell ref="A5:L5"/>
    <mergeCell ref="A6:L6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L22:L23"/>
    <mergeCell ref="A22:A23"/>
    <mergeCell ref="B22:C23"/>
    <mergeCell ref="A54:C54"/>
    <mergeCell ref="I47:I48"/>
    <mergeCell ref="J47:J48"/>
    <mergeCell ref="G47:G48"/>
    <mergeCell ref="D30:D31"/>
    <mergeCell ref="E30:G31"/>
    <mergeCell ref="H30:H31"/>
    <mergeCell ref="E32:G32"/>
    <mergeCell ref="D35:F36"/>
    <mergeCell ref="G35:J36"/>
    <mergeCell ref="A45:A46"/>
    <mergeCell ref="B45:C46"/>
    <mergeCell ref="A39:C39"/>
    <mergeCell ref="A41:C41"/>
  </mergeCells>
  <pageMargins left="0.5" right="0.25" top="0.25" bottom="0.25" header="0" footer="0"/>
  <pageSetup paperSize="5" scale="8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995"/>
  <sheetViews>
    <sheetView topLeftCell="A25" zoomScaleNormal="100" workbookViewId="0">
      <selection activeCell="O43" sqref="O43"/>
    </sheetView>
  </sheetViews>
  <sheetFormatPr defaultColWidth="14.42578125" defaultRowHeight="15" customHeight="1" x14ac:dyDescent="0.25"/>
  <cols>
    <col min="1" max="1" width="10" customWidth="1"/>
    <col min="2" max="2" width="8.85546875" customWidth="1"/>
    <col min="3" max="3" width="16.7109375" customWidth="1"/>
    <col min="4" max="4" width="8" customWidth="1"/>
    <col min="5" max="5" width="16.85546875" customWidth="1"/>
    <col min="6" max="6" width="9.7109375" customWidth="1"/>
    <col min="7" max="7" width="10" customWidth="1"/>
    <col min="8" max="8" width="9.42578125" style="86" customWidth="1"/>
    <col min="9" max="11" width="5.85546875" customWidth="1"/>
    <col min="12" max="12" width="7.28515625" bestFit="1" customWidth="1"/>
    <col min="13" max="26" width="8.85546875" customWidth="1"/>
  </cols>
  <sheetData>
    <row r="1" spans="1:12" ht="14.25" customHeight="1" x14ac:dyDescent="0.25">
      <c r="A1" s="1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"/>
      <c r="B8" s="3"/>
      <c r="C8" s="3"/>
      <c r="D8" s="3"/>
      <c r="E8" s="4"/>
      <c r="F8" s="3"/>
      <c r="G8" s="3"/>
      <c r="H8" s="98"/>
      <c r="I8" s="3"/>
      <c r="J8" s="3"/>
      <c r="K8" s="3"/>
      <c r="L8" s="3"/>
    </row>
    <row r="9" spans="1:12" ht="20.25" customHeight="1" x14ac:dyDescent="0.3">
      <c r="A9" s="496" t="s">
        <v>67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26" ht="14.25" customHeight="1" x14ac:dyDescent="0.25">
      <c r="A17" s="683"/>
      <c r="B17" s="684"/>
      <c r="C17" s="684"/>
      <c r="D17" s="684"/>
      <c r="E17" s="684"/>
      <c r="F17" s="684"/>
      <c r="G17" s="684"/>
      <c r="H17" s="685"/>
      <c r="I17" s="95" t="s">
        <v>23</v>
      </c>
      <c r="J17" s="95" t="s">
        <v>24</v>
      </c>
      <c r="K17" s="95" t="s">
        <v>25</v>
      </c>
      <c r="L17" s="96" t="s">
        <v>26</v>
      </c>
    </row>
    <row r="18" spans="1:26" ht="14.25" customHeight="1" x14ac:dyDescent="0.25">
      <c r="A18" s="511" t="s">
        <v>128</v>
      </c>
      <c r="B18" s="512" t="s">
        <v>129</v>
      </c>
      <c r="C18" s="512"/>
      <c r="D18" s="113" t="s">
        <v>49</v>
      </c>
      <c r="E18" s="114" t="s">
        <v>79</v>
      </c>
      <c r="F18" s="198" t="s">
        <v>102</v>
      </c>
      <c r="G18" s="513" t="s">
        <v>185</v>
      </c>
      <c r="H18" s="687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26" s="88" customFormat="1" ht="14.25" customHeight="1" x14ac:dyDescent="0.25">
      <c r="A19" s="511"/>
      <c r="B19" s="512"/>
      <c r="C19" s="512"/>
      <c r="D19" s="113" t="s">
        <v>28</v>
      </c>
      <c r="E19" s="115" t="s">
        <v>107</v>
      </c>
      <c r="F19" s="198" t="s">
        <v>102</v>
      </c>
      <c r="G19" s="513"/>
      <c r="H19" s="566"/>
      <c r="I19" s="513"/>
      <c r="J19" s="513"/>
      <c r="K19" s="513"/>
      <c r="L19" s="514"/>
    </row>
    <row r="20" spans="1:26" s="200" customFormat="1" ht="14.25" customHeight="1" x14ac:dyDescent="0.25">
      <c r="A20" s="627" t="s">
        <v>128</v>
      </c>
      <c r="B20" s="661" t="s">
        <v>129</v>
      </c>
      <c r="C20" s="661"/>
      <c r="D20" s="213" t="s">
        <v>50</v>
      </c>
      <c r="E20" s="214" t="s">
        <v>142</v>
      </c>
      <c r="F20" s="424" t="s">
        <v>106</v>
      </c>
      <c r="G20" s="629" t="s">
        <v>183</v>
      </c>
      <c r="H20" s="697">
        <v>40</v>
      </c>
      <c r="I20" s="629">
        <v>2</v>
      </c>
      <c r="J20" s="629">
        <v>1</v>
      </c>
      <c r="K20" s="629">
        <v>3</v>
      </c>
      <c r="L20" s="632">
        <v>4</v>
      </c>
    </row>
    <row r="21" spans="1:26" s="200" customFormat="1" ht="14.25" customHeight="1" thickBot="1" x14ac:dyDescent="0.3">
      <c r="A21" s="628"/>
      <c r="B21" s="662"/>
      <c r="C21" s="662"/>
      <c r="D21" s="216" t="s">
        <v>27</v>
      </c>
      <c r="E21" s="217" t="s">
        <v>105</v>
      </c>
      <c r="F21" s="425" t="s">
        <v>106</v>
      </c>
      <c r="G21" s="630"/>
      <c r="H21" s="698"/>
      <c r="I21" s="630"/>
      <c r="J21" s="630"/>
      <c r="K21" s="630"/>
      <c r="L21" s="633"/>
    </row>
    <row r="22" spans="1:26" ht="14.25" customHeight="1" x14ac:dyDescent="0.25">
      <c r="B22" s="523"/>
      <c r="C22" s="431"/>
      <c r="E22" s="4" t="s">
        <v>29</v>
      </c>
      <c r="F22" s="10"/>
      <c r="G22" s="10"/>
      <c r="H22" s="173"/>
      <c r="I22" s="11"/>
      <c r="J22" s="11"/>
      <c r="K22" s="12">
        <f>SUM(K18:K21)</f>
        <v>6</v>
      </c>
      <c r="L22" s="12">
        <f>SUM(L18:L21)</f>
        <v>9</v>
      </c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4.25" customHeight="1" thickBot="1" x14ac:dyDescent="0.3">
      <c r="A23" s="7" t="s">
        <v>30</v>
      </c>
      <c r="B23" s="8"/>
      <c r="E23" s="2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4.25" customHeight="1" x14ac:dyDescent="0.25">
      <c r="A24" s="524" t="s">
        <v>13</v>
      </c>
      <c r="B24" s="526" t="s">
        <v>14</v>
      </c>
      <c r="C24" s="527"/>
      <c r="D24" s="528" t="s">
        <v>15</v>
      </c>
      <c r="E24" s="526" t="s">
        <v>16</v>
      </c>
      <c r="F24" s="503"/>
      <c r="G24" s="527"/>
      <c r="H24" s="530" t="s">
        <v>19</v>
      </c>
      <c r="I24" s="13" t="s">
        <v>20</v>
      </c>
      <c r="J24" s="13" t="s">
        <v>20</v>
      </c>
      <c r="K24" s="13" t="s">
        <v>21</v>
      </c>
      <c r="L24" s="14" t="s">
        <v>22</v>
      </c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4.25" customHeight="1" x14ac:dyDescent="0.25">
      <c r="A25" s="525"/>
      <c r="B25" s="482"/>
      <c r="C25" s="472"/>
      <c r="D25" s="529"/>
      <c r="E25" s="482"/>
      <c r="F25" s="437"/>
      <c r="G25" s="472"/>
      <c r="H25" s="531"/>
      <c r="I25" s="15" t="s">
        <v>23</v>
      </c>
      <c r="J25" s="15" t="s">
        <v>24</v>
      </c>
      <c r="K25" s="15" t="s">
        <v>25</v>
      </c>
      <c r="L25" s="16" t="s">
        <v>26</v>
      </c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4.25" customHeight="1" thickBot="1" x14ac:dyDescent="0.3">
      <c r="A26" s="636" t="s">
        <v>68</v>
      </c>
      <c r="B26" s="642"/>
      <c r="C26" s="643"/>
      <c r="D26" s="9"/>
      <c r="E26" s="644"/>
      <c r="F26" s="501"/>
      <c r="G26" s="645"/>
      <c r="H26" s="184"/>
      <c r="I26" s="9"/>
      <c r="J26" s="9"/>
      <c r="K26" s="9"/>
      <c r="L26" s="46">
        <v>12</v>
      </c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4.25" customHeight="1" x14ac:dyDescent="0.25">
      <c r="D27" s="10" t="s">
        <v>31</v>
      </c>
      <c r="E27" s="17"/>
      <c r="F27" s="11"/>
      <c r="G27" s="11"/>
      <c r="H27" s="173"/>
      <c r="I27" s="11"/>
      <c r="K27" s="32">
        <f t="shared" ref="K27:L27" si="0">SUM(K26)</f>
        <v>0</v>
      </c>
      <c r="L27" s="32">
        <f t="shared" si="0"/>
        <v>12</v>
      </c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4.25" customHeight="1" thickBot="1" x14ac:dyDescent="0.3">
      <c r="A28" s="7" t="s">
        <v>32</v>
      </c>
      <c r="B28" s="18"/>
      <c r="C28" s="19"/>
      <c r="D28" s="19"/>
      <c r="E28" s="2"/>
      <c r="F28" s="19"/>
      <c r="G28" s="19"/>
      <c r="H28" s="175"/>
      <c r="I28" s="19"/>
      <c r="J28" s="19"/>
      <c r="K28" s="19"/>
      <c r="L28" s="19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4.25" customHeight="1" x14ac:dyDescent="0.25">
      <c r="A29" s="492" t="s">
        <v>15</v>
      </c>
      <c r="B29" s="493"/>
      <c r="C29" s="494"/>
      <c r="D29" s="480" t="s">
        <v>16</v>
      </c>
      <c r="E29" s="493"/>
      <c r="F29" s="494"/>
      <c r="G29" s="480" t="s">
        <v>33</v>
      </c>
      <c r="H29" s="493"/>
      <c r="I29" s="493"/>
      <c r="J29" s="494"/>
      <c r="K29" s="480" t="s">
        <v>34</v>
      </c>
      <c r="L29" s="481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4.25" customHeight="1" x14ac:dyDescent="0.25">
      <c r="A30" s="495"/>
      <c r="B30" s="437"/>
      <c r="C30" s="472"/>
      <c r="D30" s="482"/>
      <c r="E30" s="437"/>
      <c r="F30" s="472"/>
      <c r="G30" s="482"/>
      <c r="H30" s="437"/>
      <c r="I30" s="437"/>
      <c r="J30" s="472"/>
      <c r="K30" s="482"/>
      <c r="L30" s="475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s="79" customFormat="1" ht="14.25" customHeight="1" x14ac:dyDescent="0.25">
      <c r="A31" s="471" t="s">
        <v>49</v>
      </c>
      <c r="B31" s="437"/>
      <c r="C31" s="472"/>
      <c r="D31" s="473" t="s">
        <v>287</v>
      </c>
      <c r="E31" s="437"/>
      <c r="F31" s="472"/>
      <c r="G31" s="462" t="s">
        <v>75</v>
      </c>
      <c r="H31" s="463"/>
      <c r="I31" s="463"/>
      <c r="J31" s="464"/>
      <c r="K31" s="474">
        <v>5</v>
      </c>
      <c r="L31" s="475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4.25" customHeight="1" x14ac:dyDescent="0.25">
      <c r="A32" s="476" t="s">
        <v>28</v>
      </c>
      <c r="B32" s="453"/>
      <c r="C32" s="477"/>
      <c r="D32" s="539" t="s">
        <v>288</v>
      </c>
      <c r="E32" s="453"/>
      <c r="F32" s="477"/>
      <c r="G32" s="465"/>
      <c r="H32" s="466"/>
      <c r="I32" s="466"/>
      <c r="J32" s="467"/>
      <c r="K32" s="478">
        <v>8</v>
      </c>
      <c r="L32" s="479"/>
    </row>
    <row r="33" spans="1:12" s="79" customFormat="1" ht="14.25" customHeight="1" thickBot="1" x14ac:dyDescent="0.3">
      <c r="A33" s="454" t="s">
        <v>27</v>
      </c>
      <c r="B33" s="786"/>
      <c r="C33" s="787"/>
      <c r="D33" s="542" t="s">
        <v>289</v>
      </c>
      <c r="E33" s="788"/>
      <c r="F33" s="789"/>
      <c r="G33" s="468"/>
      <c r="H33" s="469"/>
      <c r="I33" s="469"/>
      <c r="J33" s="470"/>
      <c r="K33" s="460">
        <v>6</v>
      </c>
      <c r="L33" s="790"/>
    </row>
    <row r="34" spans="1:12" ht="14.25" customHeight="1" x14ac:dyDescent="0.25">
      <c r="A34" s="33"/>
      <c r="B34" s="33"/>
      <c r="C34" s="33"/>
      <c r="D34" s="10" t="s">
        <v>35</v>
      </c>
      <c r="E34" s="17"/>
      <c r="F34" s="11"/>
      <c r="G34" s="11"/>
      <c r="H34" s="173"/>
      <c r="I34" s="11"/>
      <c r="J34" s="20"/>
      <c r="K34" s="451">
        <f>SUM(K31:L33)</f>
        <v>19</v>
      </c>
      <c r="L34" s="437"/>
    </row>
    <row r="35" spans="1:12" ht="14.25" customHeight="1" x14ac:dyDescent="0.25">
      <c r="A35" s="33"/>
      <c r="B35" s="33"/>
      <c r="C35" s="33"/>
      <c r="D35" s="10" t="s">
        <v>36</v>
      </c>
      <c r="E35" s="17"/>
      <c r="F35" s="11"/>
      <c r="G35" s="11"/>
      <c r="H35" s="173"/>
      <c r="I35" s="11"/>
      <c r="K35" s="452">
        <f>L22+L27+K34</f>
        <v>40</v>
      </c>
      <c r="L35" s="453"/>
    </row>
    <row r="36" spans="1:12" ht="14.25" customHeight="1" thickBot="1" x14ac:dyDescent="0.3">
      <c r="A36" s="7" t="s">
        <v>37</v>
      </c>
      <c r="B36" s="19"/>
      <c r="D36" s="21"/>
      <c r="E36" s="22"/>
      <c r="F36" s="21"/>
      <c r="G36" s="21"/>
      <c r="H36" s="176"/>
      <c r="I36" s="21"/>
      <c r="J36" s="21"/>
      <c r="K36" s="23"/>
      <c r="L36" s="24"/>
    </row>
    <row r="37" spans="1:12" ht="14.25" customHeight="1" x14ac:dyDescent="0.25">
      <c r="A37" s="770" t="s">
        <v>13</v>
      </c>
      <c r="B37" s="771" t="s">
        <v>14</v>
      </c>
      <c r="C37" s="772"/>
      <c r="D37" s="771" t="s">
        <v>15</v>
      </c>
      <c r="E37" s="773" t="s">
        <v>16</v>
      </c>
      <c r="F37" s="540" t="s">
        <v>17</v>
      </c>
      <c r="G37" s="540" t="s">
        <v>18</v>
      </c>
      <c r="H37" s="543" t="s">
        <v>19</v>
      </c>
      <c r="I37" s="774" t="s">
        <v>20</v>
      </c>
      <c r="J37" s="774" t="s">
        <v>20</v>
      </c>
      <c r="K37" s="774" t="s">
        <v>21</v>
      </c>
      <c r="L37" s="775" t="s">
        <v>22</v>
      </c>
    </row>
    <row r="38" spans="1:12" ht="15.75" thickBot="1" x14ac:dyDescent="0.3">
      <c r="A38" s="779"/>
      <c r="B38" s="780"/>
      <c r="C38" s="780"/>
      <c r="D38" s="780"/>
      <c r="E38" s="780"/>
      <c r="F38" s="780"/>
      <c r="G38" s="780"/>
      <c r="H38" s="541"/>
      <c r="I38" s="781" t="s">
        <v>23</v>
      </c>
      <c r="J38" s="781" t="s">
        <v>24</v>
      </c>
      <c r="K38" s="781" t="s">
        <v>25</v>
      </c>
      <c r="L38" s="782" t="s">
        <v>26</v>
      </c>
    </row>
    <row r="39" spans="1:12" s="407" customFormat="1" x14ac:dyDescent="0.25">
      <c r="A39" s="664" t="s">
        <v>128</v>
      </c>
      <c r="B39" s="699" t="s">
        <v>129</v>
      </c>
      <c r="C39" s="699"/>
      <c r="D39" s="219" t="s">
        <v>50</v>
      </c>
      <c r="E39" s="220" t="s">
        <v>142</v>
      </c>
      <c r="F39" s="426" t="s">
        <v>106</v>
      </c>
      <c r="G39" s="658" t="s">
        <v>183</v>
      </c>
      <c r="H39" s="658">
        <v>40</v>
      </c>
      <c r="I39" s="658"/>
      <c r="J39" s="658"/>
      <c r="K39" s="658"/>
      <c r="L39" s="656">
        <v>1</v>
      </c>
    </row>
    <row r="40" spans="1:12" s="407" customFormat="1" x14ac:dyDescent="0.25">
      <c r="A40" s="627"/>
      <c r="B40" s="661"/>
      <c r="C40" s="661"/>
      <c r="D40" s="213" t="s">
        <v>27</v>
      </c>
      <c r="E40" s="214" t="s">
        <v>105</v>
      </c>
      <c r="F40" s="424" t="s">
        <v>106</v>
      </c>
      <c r="G40" s="629"/>
      <c r="H40" s="629"/>
      <c r="I40" s="629"/>
      <c r="J40" s="629"/>
      <c r="K40" s="629"/>
      <c r="L40" s="632"/>
    </row>
    <row r="41" spans="1:12" s="407" customFormat="1" x14ac:dyDescent="0.25">
      <c r="A41" s="578" t="s">
        <v>133</v>
      </c>
      <c r="B41" s="579" t="s">
        <v>132</v>
      </c>
      <c r="C41" s="579"/>
      <c r="D41" s="126" t="s">
        <v>38</v>
      </c>
      <c r="E41" s="127" t="s">
        <v>82</v>
      </c>
      <c r="F41" s="418" t="s">
        <v>86</v>
      </c>
      <c r="G41" s="566" t="s">
        <v>180</v>
      </c>
      <c r="H41" s="566">
        <v>40</v>
      </c>
      <c r="I41" s="566">
        <v>2</v>
      </c>
      <c r="J41" s="566">
        <v>1</v>
      </c>
      <c r="K41" s="566">
        <v>3</v>
      </c>
      <c r="L41" s="580">
        <v>5</v>
      </c>
    </row>
    <row r="42" spans="1:12" s="407" customFormat="1" ht="15" customHeight="1" x14ac:dyDescent="0.25">
      <c r="A42" s="511"/>
      <c r="B42" s="512"/>
      <c r="C42" s="512"/>
      <c r="D42" s="113" t="s">
        <v>38</v>
      </c>
      <c r="E42" s="114" t="s">
        <v>137</v>
      </c>
      <c r="F42" s="413" t="s">
        <v>86</v>
      </c>
      <c r="G42" s="513"/>
      <c r="H42" s="513"/>
      <c r="I42" s="513"/>
      <c r="J42" s="513"/>
      <c r="K42" s="513"/>
      <c r="L42" s="514"/>
    </row>
    <row r="43" spans="1:12" s="200" customFormat="1" x14ac:dyDescent="0.25">
      <c r="A43" s="511" t="s">
        <v>128</v>
      </c>
      <c r="B43" s="512" t="s">
        <v>129</v>
      </c>
      <c r="C43" s="512"/>
      <c r="D43" s="763" t="s">
        <v>49</v>
      </c>
      <c r="E43" s="114" t="s">
        <v>82</v>
      </c>
      <c r="F43" s="413" t="s">
        <v>106</v>
      </c>
      <c r="G43" s="513" t="s">
        <v>186</v>
      </c>
      <c r="H43" s="513">
        <v>40</v>
      </c>
      <c r="I43" s="513">
        <v>3</v>
      </c>
      <c r="J43" s="513">
        <v>3</v>
      </c>
      <c r="K43" s="513">
        <v>5</v>
      </c>
      <c r="L43" s="514">
        <v>5</v>
      </c>
    </row>
    <row r="44" spans="1:12" s="407" customFormat="1" ht="15.75" thickBot="1" x14ac:dyDescent="0.3">
      <c r="A44" s="558"/>
      <c r="B44" s="653"/>
      <c r="C44" s="653"/>
      <c r="D44" s="124" t="s">
        <v>27</v>
      </c>
      <c r="E44" s="783" t="s">
        <v>286</v>
      </c>
      <c r="F44" s="414" t="s">
        <v>106</v>
      </c>
      <c r="G44" s="551"/>
      <c r="H44" s="551"/>
      <c r="I44" s="551"/>
      <c r="J44" s="551"/>
      <c r="K44" s="551"/>
      <c r="L44" s="552"/>
    </row>
    <row r="45" spans="1:12" x14ac:dyDescent="0.25">
      <c r="A45" s="438"/>
      <c r="B45" s="439"/>
      <c r="C45" s="439"/>
      <c r="D45" s="134" t="s">
        <v>39</v>
      </c>
      <c r="E45" s="153"/>
      <c r="F45" s="137"/>
      <c r="G45" s="137"/>
      <c r="H45" s="187"/>
      <c r="I45" s="137"/>
      <c r="J45" s="137"/>
      <c r="K45" s="266">
        <f>SUM(K39:K44)</f>
        <v>8</v>
      </c>
      <c r="L45" s="206">
        <f>SUM(L39:L44)</f>
        <v>11</v>
      </c>
    </row>
    <row r="46" spans="1:12" x14ac:dyDescent="0.25">
      <c r="A46" s="133"/>
      <c r="B46" s="133"/>
      <c r="C46" s="133"/>
      <c r="D46" s="134" t="s">
        <v>40</v>
      </c>
      <c r="E46" s="135"/>
      <c r="F46" s="136"/>
      <c r="G46" s="136"/>
      <c r="H46" s="185"/>
      <c r="I46" s="136"/>
      <c r="J46" s="136"/>
      <c r="K46" s="206">
        <f>SUM(K22,K27,K45)</f>
        <v>14</v>
      </c>
      <c r="L46" s="206">
        <f>(L22+L27+K34+L45)</f>
        <v>51</v>
      </c>
    </row>
    <row r="47" spans="1:12" x14ac:dyDescent="0.25">
      <c r="A47" s="28"/>
      <c r="B47" s="28"/>
      <c r="C47" s="28"/>
      <c r="D47" s="20"/>
      <c r="E47" s="2"/>
      <c r="F47" s="20"/>
      <c r="G47" s="20"/>
      <c r="H47" s="179"/>
      <c r="I47" s="28"/>
      <c r="J47" s="28"/>
      <c r="K47" s="28"/>
      <c r="L47" s="28"/>
    </row>
    <row r="48" spans="1:12" x14ac:dyDescent="0.25">
      <c r="A48" s="432" t="s">
        <v>43</v>
      </c>
      <c r="B48" s="431"/>
      <c r="C48" s="431"/>
      <c r="D48" s="27"/>
      <c r="E48" s="27"/>
      <c r="F48" s="27"/>
      <c r="G48" s="27"/>
      <c r="H48" s="433" t="s">
        <v>44</v>
      </c>
      <c r="I48" s="434"/>
      <c r="J48" s="434"/>
      <c r="K48" s="434"/>
      <c r="L48" s="434"/>
    </row>
    <row r="49" spans="1:12" x14ac:dyDescent="0.25">
      <c r="A49" s="435" t="s">
        <v>45</v>
      </c>
      <c r="B49" s="431"/>
      <c r="C49" s="431"/>
      <c r="D49" s="27"/>
      <c r="E49" s="27"/>
      <c r="F49" s="27"/>
      <c r="G49" s="27"/>
      <c r="H49" s="435" t="s">
        <v>46</v>
      </c>
      <c r="I49" s="431"/>
      <c r="J49" s="431"/>
      <c r="K49" s="431"/>
      <c r="L49" s="431"/>
    </row>
    <row r="50" spans="1:12" ht="18" customHeight="1" x14ac:dyDescent="0.25">
      <c r="A50" s="20"/>
      <c r="B50" s="20"/>
      <c r="C50" s="20"/>
      <c r="D50" s="20"/>
      <c r="E50" s="2"/>
      <c r="F50" s="20"/>
      <c r="G50" s="20"/>
      <c r="H50" s="180"/>
      <c r="I50" s="20"/>
      <c r="J50" s="20"/>
      <c r="K50" s="20"/>
      <c r="L50" s="20"/>
    </row>
    <row r="51" spans="1:12" ht="14.25" customHeight="1" x14ac:dyDescent="0.25">
      <c r="A51" s="20"/>
      <c r="B51" s="20"/>
      <c r="D51" s="436" t="s">
        <v>192</v>
      </c>
      <c r="E51" s="437"/>
      <c r="F51" s="437"/>
      <c r="G51" s="437"/>
      <c r="H51" s="437"/>
      <c r="I51" s="437"/>
      <c r="J51" s="20"/>
      <c r="K51" s="20"/>
      <c r="L51" s="20"/>
    </row>
    <row r="52" spans="1:12" ht="14.25" customHeight="1" x14ac:dyDescent="0.25">
      <c r="C52" s="20"/>
      <c r="D52" s="433" t="s">
        <v>47</v>
      </c>
      <c r="E52" s="434"/>
      <c r="F52" s="434"/>
      <c r="G52" s="434"/>
      <c r="H52" s="434"/>
      <c r="I52" s="434"/>
      <c r="J52" s="20"/>
      <c r="K52" s="20"/>
      <c r="L52" s="20"/>
    </row>
    <row r="53" spans="1:12" ht="2.25" customHeight="1" x14ac:dyDescent="0.25">
      <c r="A53" s="10" t="s">
        <v>48</v>
      </c>
      <c r="B53" s="20"/>
      <c r="C53" s="20"/>
      <c r="D53" s="430"/>
      <c r="E53" s="431"/>
      <c r="F53" s="431"/>
      <c r="G53" s="431"/>
      <c r="H53" s="431"/>
      <c r="I53" s="431"/>
      <c r="J53" s="29"/>
      <c r="K53" s="20"/>
      <c r="L53" s="20"/>
    </row>
    <row r="54" spans="1:12" ht="14.25" customHeight="1" x14ac:dyDescent="0.25">
      <c r="A54" s="564"/>
      <c r="B54" s="431"/>
      <c r="C54" s="431"/>
      <c r="D54" s="30"/>
      <c r="E54" s="31"/>
      <c r="F54" s="30"/>
      <c r="G54" s="30"/>
      <c r="H54" s="181"/>
      <c r="I54" s="563"/>
      <c r="J54" s="431"/>
      <c r="K54" s="563"/>
      <c r="L54" s="431"/>
    </row>
    <row r="55" spans="1:12" ht="14.25" customHeight="1" x14ac:dyDescent="0.25"/>
    <row r="56" spans="1:12" ht="14.25" customHeight="1" x14ac:dyDescent="0.25"/>
    <row r="57" spans="1:12" ht="14.25" customHeight="1" x14ac:dyDescent="0.25">
      <c r="E57" s="2"/>
    </row>
    <row r="58" spans="1:12" ht="14.25" customHeight="1" x14ac:dyDescent="0.25">
      <c r="E58" s="2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8" ht="14.25" customHeight="1" x14ac:dyDescent="0.25">
      <c r="E65" s="2"/>
      <c r="H65"/>
    </row>
    <row r="66" spans="5:8" ht="14.25" customHeight="1" x14ac:dyDescent="0.25">
      <c r="E66" s="2"/>
      <c r="H66"/>
    </row>
    <row r="67" spans="5:8" ht="14.25" customHeight="1" x14ac:dyDescent="0.25">
      <c r="E67" s="2"/>
      <c r="H67"/>
    </row>
    <row r="68" spans="5:8" ht="14.25" customHeight="1" x14ac:dyDescent="0.25">
      <c r="E68" s="2"/>
      <c r="H68"/>
    </row>
    <row r="69" spans="5:8" ht="14.25" customHeight="1" x14ac:dyDescent="0.25">
      <c r="E69" s="2"/>
      <c r="H69"/>
    </row>
    <row r="70" spans="5:8" ht="14.25" customHeight="1" x14ac:dyDescent="0.25">
      <c r="E70" s="2"/>
      <c r="H70"/>
    </row>
    <row r="71" spans="5:8" ht="14.25" customHeight="1" x14ac:dyDescent="0.25">
      <c r="E71" s="2"/>
      <c r="H71"/>
    </row>
    <row r="72" spans="5:8" ht="14.25" customHeight="1" x14ac:dyDescent="0.25">
      <c r="E72" s="2"/>
      <c r="H72"/>
    </row>
    <row r="73" spans="5:8" ht="14.25" customHeight="1" x14ac:dyDescent="0.25">
      <c r="E73" s="2"/>
      <c r="H73"/>
    </row>
    <row r="74" spans="5:8" ht="14.25" customHeight="1" x14ac:dyDescent="0.25">
      <c r="E74" s="2"/>
      <c r="H74"/>
    </row>
    <row r="75" spans="5:8" ht="14.25" customHeight="1" x14ac:dyDescent="0.25">
      <c r="E75" s="2"/>
      <c r="H75"/>
    </row>
    <row r="76" spans="5:8" ht="14.25" customHeight="1" x14ac:dyDescent="0.25">
      <c r="E76" s="2"/>
      <c r="H76"/>
    </row>
    <row r="77" spans="5:8" ht="14.25" customHeight="1" x14ac:dyDescent="0.25">
      <c r="E77" s="2"/>
      <c r="H77"/>
    </row>
    <row r="78" spans="5:8" ht="14.25" customHeight="1" x14ac:dyDescent="0.25">
      <c r="E78" s="2"/>
      <c r="H78"/>
    </row>
    <row r="79" spans="5:8" ht="14.25" customHeight="1" x14ac:dyDescent="0.25">
      <c r="E79" s="2"/>
      <c r="H79"/>
    </row>
    <row r="80" spans="5:8" ht="14.25" customHeight="1" x14ac:dyDescent="0.25">
      <c r="E80" s="2"/>
      <c r="H80"/>
    </row>
    <row r="81" spans="5:8" ht="14.25" customHeight="1" x14ac:dyDescent="0.25">
      <c r="E81" s="2"/>
      <c r="H81"/>
    </row>
    <row r="82" spans="5:8" ht="14.25" customHeight="1" x14ac:dyDescent="0.25">
      <c r="E82" s="2"/>
      <c r="H82"/>
    </row>
    <row r="83" spans="5:8" ht="14.25" customHeight="1" x14ac:dyDescent="0.25">
      <c r="E83" s="2"/>
      <c r="H83"/>
    </row>
    <row r="84" spans="5:8" ht="14.25" customHeight="1" x14ac:dyDescent="0.25">
      <c r="E84" s="2"/>
      <c r="H84"/>
    </row>
    <row r="85" spans="5:8" ht="14.25" customHeight="1" x14ac:dyDescent="0.25">
      <c r="E85" s="2"/>
      <c r="H85"/>
    </row>
    <row r="86" spans="5:8" ht="14.25" customHeight="1" x14ac:dyDescent="0.25">
      <c r="E86" s="2"/>
      <c r="H86"/>
    </row>
    <row r="87" spans="5:8" ht="14.25" customHeight="1" x14ac:dyDescent="0.25">
      <c r="E87" s="2"/>
      <c r="H87"/>
    </row>
    <row r="88" spans="5:8" ht="14.25" customHeight="1" x14ac:dyDescent="0.25">
      <c r="E88" s="2"/>
      <c r="H88"/>
    </row>
    <row r="89" spans="5:8" ht="14.25" customHeight="1" x14ac:dyDescent="0.25">
      <c r="E89" s="2"/>
      <c r="H89"/>
    </row>
    <row r="90" spans="5:8" ht="14.25" customHeight="1" x14ac:dyDescent="0.25">
      <c r="E90" s="2"/>
      <c r="H90"/>
    </row>
    <row r="91" spans="5:8" ht="14.25" customHeight="1" x14ac:dyDescent="0.25">
      <c r="E91" s="2"/>
      <c r="H91"/>
    </row>
    <row r="92" spans="5:8" ht="14.25" customHeight="1" x14ac:dyDescent="0.25">
      <c r="E92" s="2"/>
      <c r="H92"/>
    </row>
    <row r="93" spans="5:8" ht="14.25" customHeight="1" x14ac:dyDescent="0.25">
      <c r="E93" s="2"/>
      <c r="H93"/>
    </row>
    <row r="94" spans="5:8" ht="14.25" customHeight="1" x14ac:dyDescent="0.25">
      <c r="E94" s="2"/>
      <c r="H94"/>
    </row>
    <row r="95" spans="5:8" ht="14.25" customHeight="1" x14ac:dyDescent="0.25">
      <c r="E95" s="2"/>
      <c r="H95"/>
    </row>
    <row r="96" spans="5:8" ht="14.25" customHeight="1" x14ac:dyDescent="0.25">
      <c r="E96" s="2"/>
      <c r="H96"/>
    </row>
    <row r="97" spans="5:8" ht="14.25" customHeight="1" x14ac:dyDescent="0.25">
      <c r="E97" s="2"/>
      <c r="H97"/>
    </row>
    <row r="98" spans="5:8" ht="14.25" customHeight="1" x14ac:dyDescent="0.25">
      <c r="E98" s="2"/>
      <c r="H98"/>
    </row>
    <row r="99" spans="5:8" ht="14.25" customHeight="1" x14ac:dyDescent="0.25">
      <c r="E99" s="2"/>
      <c r="H99"/>
    </row>
    <row r="100" spans="5:8" ht="14.25" customHeight="1" x14ac:dyDescent="0.25">
      <c r="E100" s="2"/>
      <c r="H100"/>
    </row>
    <row r="101" spans="5:8" ht="14.25" customHeight="1" x14ac:dyDescent="0.25">
      <c r="E101" s="2"/>
      <c r="H101"/>
    </row>
    <row r="102" spans="5:8" ht="14.25" customHeight="1" x14ac:dyDescent="0.25">
      <c r="E102" s="2"/>
      <c r="H102"/>
    </row>
    <row r="103" spans="5:8" ht="14.25" customHeight="1" x14ac:dyDescent="0.25">
      <c r="E103" s="2"/>
      <c r="H103"/>
    </row>
    <row r="104" spans="5:8" ht="14.25" customHeight="1" x14ac:dyDescent="0.25">
      <c r="E104" s="2"/>
      <c r="H104"/>
    </row>
    <row r="105" spans="5:8" ht="14.25" customHeight="1" x14ac:dyDescent="0.25">
      <c r="E105" s="2"/>
      <c r="H105"/>
    </row>
    <row r="106" spans="5:8" ht="14.25" customHeight="1" x14ac:dyDescent="0.25">
      <c r="E106" s="2"/>
      <c r="H106"/>
    </row>
    <row r="107" spans="5:8" ht="14.25" customHeight="1" x14ac:dyDescent="0.25">
      <c r="E107" s="2"/>
      <c r="H107"/>
    </row>
    <row r="108" spans="5:8" ht="14.25" customHeight="1" x14ac:dyDescent="0.25">
      <c r="E108" s="2"/>
      <c r="H108"/>
    </row>
    <row r="109" spans="5:8" ht="14.25" customHeight="1" x14ac:dyDescent="0.25">
      <c r="E109" s="2"/>
      <c r="H109"/>
    </row>
    <row r="110" spans="5:8" ht="14.25" customHeight="1" x14ac:dyDescent="0.25">
      <c r="E110" s="2"/>
      <c r="H110"/>
    </row>
    <row r="111" spans="5:8" ht="14.25" customHeight="1" x14ac:dyDescent="0.25">
      <c r="E111" s="2"/>
      <c r="H111"/>
    </row>
    <row r="112" spans="5:8" ht="14.25" customHeight="1" x14ac:dyDescent="0.25">
      <c r="E112" s="2"/>
      <c r="H112"/>
    </row>
    <row r="113" spans="5:8" ht="14.25" customHeight="1" x14ac:dyDescent="0.25">
      <c r="E113" s="2"/>
      <c r="H113"/>
    </row>
    <row r="114" spans="5:8" ht="14.25" customHeight="1" x14ac:dyDescent="0.25">
      <c r="E114" s="2"/>
      <c r="H114"/>
    </row>
    <row r="115" spans="5:8" ht="14.25" customHeight="1" x14ac:dyDescent="0.25">
      <c r="E115" s="2"/>
      <c r="H115"/>
    </row>
    <row r="116" spans="5:8" ht="14.25" customHeight="1" x14ac:dyDescent="0.25">
      <c r="E116" s="2"/>
      <c r="H116"/>
    </row>
    <row r="117" spans="5:8" ht="14.25" customHeight="1" x14ac:dyDescent="0.25">
      <c r="E117" s="2"/>
      <c r="H117"/>
    </row>
    <row r="118" spans="5:8" ht="14.25" customHeight="1" x14ac:dyDescent="0.25">
      <c r="E118" s="2"/>
      <c r="H118"/>
    </row>
    <row r="119" spans="5:8" ht="14.25" customHeight="1" x14ac:dyDescent="0.25">
      <c r="E119" s="2"/>
      <c r="H119"/>
    </row>
    <row r="120" spans="5:8" ht="14.25" customHeight="1" x14ac:dyDescent="0.25">
      <c r="E120" s="2"/>
      <c r="H120"/>
    </row>
    <row r="121" spans="5:8" ht="14.25" customHeight="1" x14ac:dyDescent="0.25">
      <c r="E121" s="2"/>
      <c r="H121"/>
    </row>
    <row r="122" spans="5:8" ht="14.25" customHeight="1" x14ac:dyDescent="0.25">
      <c r="E122" s="2"/>
      <c r="H122"/>
    </row>
    <row r="123" spans="5:8" ht="14.25" customHeight="1" x14ac:dyDescent="0.25">
      <c r="E123" s="2"/>
      <c r="H123"/>
    </row>
    <row r="124" spans="5:8" ht="14.25" customHeight="1" x14ac:dyDescent="0.25">
      <c r="E124" s="2"/>
      <c r="H124"/>
    </row>
    <row r="125" spans="5:8" ht="14.25" customHeight="1" x14ac:dyDescent="0.25">
      <c r="E125" s="2"/>
      <c r="H125"/>
    </row>
    <row r="126" spans="5:8" ht="14.25" customHeight="1" x14ac:dyDescent="0.25">
      <c r="E126" s="2"/>
      <c r="H126"/>
    </row>
    <row r="127" spans="5:8" ht="14.25" customHeight="1" x14ac:dyDescent="0.25">
      <c r="E127" s="2"/>
      <c r="H127"/>
    </row>
    <row r="128" spans="5:8" ht="14.25" customHeight="1" x14ac:dyDescent="0.25">
      <c r="E128" s="2"/>
      <c r="H128"/>
    </row>
    <row r="129" spans="5:8" ht="14.25" customHeight="1" x14ac:dyDescent="0.25">
      <c r="E129" s="2"/>
      <c r="H129"/>
    </row>
    <row r="130" spans="5:8" ht="14.25" customHeight="1" x14ac:dyDescent="0.25">
      <c r="E130" s="2"/>
      <c r="H130"/>
    </row>
    <row r="131" spans="5:8" ht="14.25" customHeight="1" x14ac:dyDescent="0.25">
      <c r="E131" s="2"/>
      <c r="H131"/>
    </row>
    <row r="132" spans="5:8" ht="14.25" customHeight="1" x14ac:dyDescent="0.25">
      <c r="E132" s="2"/>
      <c r="H132"/>
    </row>
    <row r="133" spans="5:8" ht="14.25" customHeight="1" x14ac:dyDescent="0.25">
      <c r="E133" s="2"/>
      <c r="H133"/>
    </row>
    <row r="134" spans="5:8" ht="14.25" customHeight="1" x14ac:dyDescent="0.25">
      <c r="E134" s="2"/>
      <c r="H134"/>
    </row>
    <row r="135" spans="5:8" ht="14.25" customHeight="1" x14ac:dyDescent="0.25">
      <c r="E135" s="2"/>
      <c r="H135"/>
    </row>
    <row r="136" spans="5:8" ht="14.25" customHeight="1" x14ac:dyDescent="0.25">
      <c r="E136" s="2"/>
      <c r="H136"/>
    </row>
    <row r="137" spans="5:8" ht="14.25" customHeight="1" x14ac:dyDescent="0.25">
      <c r="E137" s="2"/>
      <c r="H137"/>
    </row>
    <row r="138" spans="5:8" ht="14.25" customHeight="1" x14ac:dyDescent="0.25">
      <c r="E138" s="2"/>
      <c r="H138"/>
    </row>
    <row r="139" spans="5:8" ht="14.25" customHeight="1" x14ac:dyDescent="0.25">
      <c r="E139" s="2"/>
      <c r="H139"/>
    </row>
    <row r="140" spans="5:8" ht="14.25" customHeight="1" x14ac:dyDescent="0.25">
      <c r="E140" s="2"/>
      <c r="H140"/>
    </row>
    <row r="141" spans="5:8" ht="14.25" customHeight="1" x14ac:dyDescent="0.25">
      <c r="E141" s="2"/>
      <c r="H141"/>
    </row>
    <row r="142" spans="5:8" ht="14.25" customHeight="1" x14ac:dyDescent="0.25">
      <c r="E142" s="2"/>
      <c r="H142"/>
    </row>
    <row r="143" spans="5:8" ht="14.25" customHeight="1" x14ac:dyDescent="0.25">
      <c r="E143" s="2"/>
      <c r="H143"/>
    </row>
    <row r="144" spans="5:8" ht="14.25" customHeight="1" x14ac:dyDescent="0.25">
      <c r="E144" s="2"/>
      <c r="H144"/>
    </row>
    <row r="145" spans="5:8" ht="14.25" customHeight="1" x14ac:dyDescent="0.25">
      <c r="E145" s="2"/>
      <c r="H145"/>
    </row>
    <row r="146" spans="5:8" ht="14.25" customHeight="1" x14ac:dyDescent="0.25">
      <c r="E146" s="2"/>
      <c r="H146"/>
    </row>
    <row r="147" spans="5:8" ht="14.25" customHeight="1" x14ac:dyDescent="0.25">
      <c r="E147" s="2"/>
      <c r="H147"/>
    </row>
    <row r="148" spans="5:8" ht="14.25" customHeight="1" x14ac:dyDescent="0.25">
      <c r="E148" s="2"/>
      <c r="H148"/>
    </row>
    <row r="149" spans="5:8" ht="14.25" customHeight="1" x14ac:dyDescent="0.25">
      <c r="E149" s="2"/>
      <c r="H149"/>
    </row>
    <row r="150" spans="5:8" ht="14.25" customHeight="1" x14ac:dyDescent="0.25">
      <c r="E150" s="2"/>
      <c r="H150"/>
    </row>
    <row r="151" spans="5:8" ht="14.25" customHeight="1" x14ac:dyDescent="0.25">
      <c r="E151" s="2"/>
      <c r="H151"/>
    </row>
    <row r="152" spans="5:8" ht="14.25" customHeight="1" x14ac:dyDescent="0.25">
      <c r="E152" s="2"/>
      <c r="H152"/>
    </row>
    <row r="153" spans="5:8" ht="14.25" customHeight="1" x14ac:dyDescent="0.25">
      <c r="E153" s="2"/>
      <c r="H153"/>
    </row>
    <row r="154" spans="5:8" ht="14.25" customHeight="1" x14ac:dyDescent="0.25">
      <c r="E154" s="2"/>
      <c r="H154"/>
    </row>
    <row r="155" spans="5:8" ht="14.25" customHeight="1" x14ac:dyDescent="0.25">
      <c r="E155" s="2"/>
      <c r="H155"/>
    </row>
    <row r="156" spans="5:8" ht="14.25" customHeight="1" x14ac:dyDescent="0.25">
      <c r="E156" s="2"/>
      <c r="H156"/>
    </row>
    <row r="157" spans="5:8" ht="14.25" customHeight="1" x14ac:dyDescent="0.25">
      <c r="E157" s="2"/>
      <c r="H157"/>
    </row>
    <row r="158" spans="5:8" ht="14.25" customHeight="1" x14ac:dyDescent="0.25">
      <c r="E158" s="2"/>
      <c r="H158"/>
    </row>
    <row r="159" spans="5:8" ht="14.25" customHeight="1" x14ac:dyDescent="0.25">
      <c r="E159" s="2"/>
      <c r="H159"/>
    </row>
    <row r="160" spans="5:8" ht="14.25" customHeight="1" x14ac:dyDescent="0.25">
      <c r="E160" s="2"/>
      <c r="H160"/>
    </row>
    <row r="161" spans="5:8" ht="14.25" customHeight="1" x14ac:dyDescent="0.25">
      <c r="E161" s="2"/>
      <c r="H161"/>
    </row>
    <row r="162" spans="5:8" ht="14.25" customHeight="1" x14ac:dyDescent="0.25">
      <c r="E162" s="2"/>
      <c r="H162"/>
    </row>
    <row r="163" spans="5:8" ht="14.25" customHeight="1" x14ac:dyDescent="0.25">
      <c r="E163" s="2"/>
      <c r="H163"/>
    </row>
    <row r="164" spans="5:8" ht="14.25" customHeight="1" x14ac:dyDescent="0.25">
      <c r="E164" s="2"/>
      <c r="H164"/>
    </row>
    <row r="165" spans="5:8" ht="14.25" customHeight="1" x14ac:dyDescent="0.25">
      <c r="E165" s="2"/>
      <c r="H165"/>
    </row>
    <row r="166" spans="5:8" ht="14.25" customHeight="1" x14ac:dyDescent="0.25">
      <c r="E166" s="2"/>
      <c r="H166"/>
    </row>
    <row r="167" spans="5:8" ht="14.25" customHeight="1" x14ac:dyDescent="0.25">
      <c r="E167" s="2"/>
      <c r="H167"/>
    </row>
    <row r="168" spans="5:8" ht="14.25" customHeight="1" x14ac:dyDescent="0.25">
      <c r="E168" s="2"/>
      <c r="H168"/>
    </row>
    <row r="169" spans="5:8" ht="14.25" customHeight="1" x14ac:dyDescent="0.25">
      <c r="E169" s="2"/>
      <c r="H169"/>
    </row>
    <row r="170" spans="5:8" ht="14.25" customHeight="1" x14ac:dyDescent="0.25">
      <c r="E170" s="2"/>
      <c r="H170"/>
    </row>
    <row r="171" spans="5:8" ht="14.25" customHeight="1" x14ac:dyDescent="0.25">
      <c r="E171" s="2"/>
      <c r="H171"/>
    </row>
    <row r="172" spans="5:8" ht="14.25" customHeight="1" x14ac:dyDescent="0.25">
      <c r="E172" s="2"/>
      <c r="H172"/>
    </row>
    <row r="173" spans="5:8" ht="14.25" customHeight="1" x14ac:dyDescent="0.25">
      <c r="E173" s="2"/>
      <c r="H173"/>
    </row>
    <row r="174" spans="5:8" ht="14.25" customHeight="1" x14ac:dyDescent="0.25">
      <c r="E174" s="2"/>
      <c r="H174"/>
    </row>
    <row r="175" spans="5:8" ht="14.25" customHeight="1" x14ac:dyDescent="0.25">
      <c r="E175" s="2"/>
      <c r="H175"/>
    </row>
    <row r="176" spans="5:8" ht="14.25" customHeight="1" x14ac:dyDescent="0.25">
      <c r="E176" s="2"/>
      <c r="H176"/>
    </row>
    <row r="177" spans="5:8" ht="14.25" customHeight="1" x14ac:dyDescent="0.25">
      <c r="E177" s="2"/>
      <c r="H177"/>
    </row>
    <row r="178" spans="5:8" ht="14.25" customHeight="1" x14ac:dyDescent="0.25">
      <c r="E178" s="2"/>
      <c r="H178"/>
    </row>
    <row r="179" spans="5:8" ht="14.25" customHeight="1" x14ac:dyDescent="0.25">
      <c r="E179" s="2"/>
      <c r="H179"/>
    </row>
    <row r="180" spans="5:8" ht="14.25" customHeight="1" x14ac:dyDescent="0.25">
      <c r="E180" s="2"/>
      <c r="H180"/>
    </row>
    <row r="181" spans="5:8" ht="14.25" customHeight="1" x14ac:dyDescent="0.25">
      <c r="E181" s="2"/>
      <c r="H181"/>
    </row>
    <row r="182" spans="5:8" ht="14.25" customHeight="1" x14ac:dyDescent="0.25">
      <c r="E182" s="2"/>
      <c r="H182"/>
    </row>
    <row r="183" spans="5:8" ht="14.25" customHeight="1" x14ac:dyDescent="0.25">
      <c r="E183" s="2"/>
      <c r="H183"/>
    </row>
    <row r="184" spans="5:8" ht="14.25" customHeight="1" x14ac:dyDescent="0.25">
      <c r="E184" s="2"/>
      <c r="H184"/>
    </row>
    <row r="185" spans="5:8" ht="14.25" customHeight="1" x14ac:dyDescent="0.25">
      <c r="E185" s="2"/>
      <c r="H185"/>
    </row>
    <row r="186" spans="5:8" ht="14.25" customHeight="1" x14ac:dyDescent="0.25">
      <c r="E186" s="2"/>
      <c r="H186"/>
    </row>
    <row r="187" spans="5:8" ht="14.25" customHeight="1" x14ac:dyDescent="0.25">
      <c r="E187" s="2"/>
      <c r="H187"/>
    </row>
    <row r="188" spans="5:8" ht="14.25" customHeight="1" x14ac:dyDescent="0.25">
      <c r="E188" s="2"/>
      <c r="H188"/>
    </row>
    <row r="189" spans="5:8" ht="14.25" customHeight="1" x14ac:dyDescent="0.25">
      <c r="E189" s="2"/>
      <c r="H189"/>
    </row>
    <row r="190" spans="5:8" ht="14.25" customHeight="1" x14ac:dyDescent="0.25">
      <c r="E190" s="2"/>
      <c r="H190"/>
    </row>
    <row r="191" spans="5:8" ht="14.25" customHeight="1" x14ac:dyDescent="0.25">
      <c r="E191" s="2"/>
      <c r="H191"/>
    </row>
    <row r="192" spans="5:8" ht="14.25" customHeight="1" x14ac:dyDescent="0.25">
      <c r="E192" s="2"/>
      <c r="H192"/>
    </row>
    <row r="193" spans="5:8" ht="14.25" customHeight="1" x14ac:dyDescent="0.25">
      <c r="E193" s="2"/>
      <c r="H193"/>
    </row>
    <row r="194" spans="5:8" ht="14.25" customHeight="1" x14ac:dyDescent="0.25">
      <c r="E194" s="2"/>
      <c r="H194"/>
    </row>
    <row r="195" spans="5:8" ht="14.25" customHeight="1" x14ac:dyDescent="0.25">
      <c r="E195" s="2"/>
      <c r="H195"/>
    </row>
    <row r="196" spans="5:8" ht="14.25" customHeight="1" x14ac:dyDescent="0.25">
      <c r="E196" s="2"/>
      <c r="H196"/>
    </row>
    <row r="197" spans="5:8" ht="14.25" customHeight="1" x14ac:dyDescent="0.25">
      <c r="E197" s="2"/>
      <c r="H197"/>
    </row>
    <row r="198" spans="5:8" ht="14.25" customHeight="1" x14ac:dyDescent="0.25">
      <c r="E198" s="2"/>
      <c r="H198"/>
    </row>
    <row r="199" spans="5:8" ht="14.25" customHeight="1" x14ac:dyDescent="0.25">
      <c r="E199" s="2"/>
      <c r="H199"/>
    </row>
    <row r="200" spans="5:8" ht="14.25" customHeight="1" x14ac:dyDescent="0.25">
      <c r="E200" s="2"/>
      <c r="H200"/>
    </row>
    <row r="201" spans="5:8" ht="14.25" customHeight="1" x14ac:dyDescent="0.25">
      <c r="E201" s="2"/>
      <c r="H201"/>
    </row>
    <row r="202" spans="5:8" ht="14.25" customHeight="1" x14ac:dyDescent="0.25">
      <c r="E202" s="2"/>
      <c r="H202"/>
    </row>
    <row r="203" spans="5:8" ht="14.25" customHeight="1" x14ac:dyDescent="0.25">
      <c r="E203" s="2"/>
      <c r="H203"/>
    </row>
    <row r="204" spans="5:8" ht="14.25" customHeight="1" x14ac:dyDescent="0.25">
      <c r="E204" s="2"/>
      <c r="H204"/>
    </row>
    <row r="205" spans="5:8" ht="14.25" customHeight="1" x14ac:dyDescent="0.25">
      <c r="E205" s="2"/>
      <c r="H205"/>
    </row>
    <row r="206" spans="5:8" ht="14.25" customHeight="1" x14ac:dyDescent="0.25">
      <c r="E206" s="2"/>
      <c r="H206"/>
    </row>
    <row r="207" spans="5:8" ht="14.25" customHeight="1" x14ac:dyDescent="0.25">
      <c r="E207" s="2"/>
      <c r="H207"/>
    </row>
    <row r="208" spans="5:8" ht="14.25" customHeight="1" x14ac:dyDescent="0.25">
      <c r="E208" s="2"/>
      <c r="H208"/>
    </row>
    <row r="209" spans="5:8" ht="14.25" customHeight="1" x14ac:dyDescent="0.25">
      <c r="E209" s="2"/>
      <c r="H209"/>
    </row>
    <row r="210" spans="5:8" ht="14.25" customHeight="1" x14ac:dyDescent="0.25">
      <c r="E210" s="2"/>
      <c r="H210"/>
    </row>
    <row r="211" spans="5:8" ht="14.25" customHeight="1" x14ac:dyDescent="0.25">
      <c r="E211" s="2"/>
      <c r="H211"/>
    </row>
    <row r="212" spans="5:8" ht="14.25" customHeight="1" x14ac:dyDescent="0.25">
      <c r="E212" s="2"/>
      <c r="H212"/>
    </row>
    <row r="213" spans="5:8" ht="14.25" customHeight="1" x14ac:dyDescent="0.25">
      <c r="E213" s="2"/>
      <c r="H213"/>
    </row>
    <row r="214" spans="5:8" ht="14.25" customHeight="1" x14ac:dyDescent="0.25">
      <c r="E214" s="2"/>
      <c r="H214"/>
    </row>
    <row r="215" spans="5:8" ht="14.25" customHeight="1" x14ac:dyDescent="0.25">
      <c r="E215" s="2"/>
      <c r="H215"/>
    </row>
    <row r="216" spans="5:8" ht="14.25" customHeight="1" x14ac:dyDescent="0.25">
      <c r="E216" s="2"/>
      <c r="H216"/>
    </row>
    <row r="217" spans="5:8" ht="14.25" customHeight="1" x14ac:dyDescent="0.25">
      <c r="E217" s="2"/>
      <c r="H217"/>
    </row>
    <row r="218" spans="5:8" ht="14.25" customHeight="1" x14ac:dyDescent="0.25">
      <c r="E218" s="2"/>
      <c r="H218"/>
    </row>
    <row r="219" spans="5:8" ht="14.25" customHeight="1" x14ac:dyDescent="0.25">
      <c r="E219" s="2"/>
      <c r="H219"/>
    </row>
    <row r="220" spans="5:8" ht="14.25" customHeight="1" x14ac:dyDescent="0.25">
      <c r="E220" s="2"/>
      <c r="H220"/>
    </row>
    <row r="221" spans="5:8" ht="14.25" customHeight="1" x14ac:dyDescent="0.25">
      <c r="E221" s="2"/>
      <c r="H221"/>
    </row>
    <row r="222" spans="5:8" ht="14.25" customHeight="1" x14ac:dyDescent="0.25">
      <c r="E222" s="2"/>
      <c r="H222"/>
    </row>
    <row r="223" spans="5:8" ht="14.25" customHeight="1" x14ac:dyDescent="0.25">
      <c r="E223" s="2"/>
      <c r="H223"/>
    </row>
    <row r="224" spans="5:8" ht="14.25" customHeight="1" x14ac:dyDescent="0.25">
      <c r="E224" s="2"/>
      <c r="H224"/>
    </row>
    <row r="225" spans="5:8" ht="14.25" customHeight="1" x14ac:dyDescent="0.25">
      <c r="E225" s="2"/>
      <c r="H225"/>
    </row>
    <row r="226" spans="5:8" ht="14.25" customHeight="1" x14ac:dyDescent="0.25">
      <c r="E226" s="2"/>
      <c r="H226"/>
    </row>
    <row r="227" spans="5:8" ht="14.25" customHeight="1" x14ac:dyDescent="0.25">
      <c r="E227" s="2"/>
      <c r="H227"/>
    </row>
    <row r="228" spans="5:8" ht="14.25" customHeight="1" x14ac:dyDescent="0.25">
      <c r="E228" s="2"/>
      <c r="H228"/>
    </row>
    <row r="229" spans="5:8" ht="14.25" customHeight="1" x14ac:dyDescent="0.25">
      <c r="E229" s="2"/>
      <c r="H229"/>
    </row>
    <row r="230" spans="5:8" ht="14.25" customHeight="1" x14ac:dyDescent="0.25">
      <c r="E230" s="2"/>
      <c r="H230"/>
    </row>
    <row r="231" spans="5:8" ht="14.25" customHeight="1" x14ac:dyDescent="0.25">
      <c r="E231" s="2"/>
      <c r="H231"/>
    </row>
    <row r="232" spans="5:8" ht="14.25" customHeight="1" x14ac:dyDescent="0.25">
      <c r="E232" s="2"/>
      <c r="H232"/>
    </row>
    <row r="233" spans="5:8" ht="14.25" customHeight="1" x14ac:dyDescent="0.25">
      <c r="E233" s="2"/>
      <c r="H233"/>
    </row>
    <row r="234" spans="5:8" ht="14.25" customHeight="1" x14ac:dyDescent="0.25">
      <c r="E234" s="2"/>
      <c r="H234"/>
    </row>
    <row r="235" spans="5:8" ht="14.25" customHeight="1" x14ac:dyDescent="0.25">
      <c r="E235" s="2"/>
      <c r="H235"/>
    </row>
    <row r="236" spans="5:8" ht="14.25" customHeight="1" x14ac:dyDescent="0.25">
      <c r="E236" s="2"/>
      <c r="H236"/>
    </row>
    <row r="237" spans="5:8" ht="14.25" customHeight="1" x14ac:dyDescent="0.25">
      <c r="E237" s="2"/>
      <c r="H237"/>
    </row>
    <row r="238" spans="5:8" ht="14.25" customHeight="1" x14ac:dyDescent="0.25">
      <c r="E238" s="2"/>
      <c r="H238"/>
    </row>
    <row r="239" spans="5:8" ht="14.25" customHeight="1" x14ac:dyDescent="0.25">
      <c r="E239" s="2"/>
      <c r="H239"/>
    </row>
    <row r="240" spans="5:8" ht="14.25" customHeight="1" x14ac:dyDescent="0.25">
      <c r="E240" s="2"/>
      <c r="H240"/>
    </row>
    <row r="241" spans="5:8" ht="14.25" customHeight="1" x14ac:dyDescent="0.25">
      <c r="E241" s="2"/>
      <c r="H241"/>
    </row>
    <row r="242" spans="5:8" ht="14.25" customHeight="1" x14ac:dyDescent="0.25">
      <c r="E242" s="2"/>
      <c r="H242"/>
    </row>
    <row r="243" spans="5:8" ht="14.25" customHeight="1" x14ac:dyDescent="0.25">
      <c r="E243" s="2"/>
      <c r="H243"/>
    </row>
    <row r="244" spans="5:8" ht="14.25" customHeight="1" x14ac:dyDescent="0.25">
      <c r="E244" s="2"/>
      <c r="H244"/>
    </row>
    <row r="245" spans="5:8" ht="14.25" customHeight="1" x14ac:dyDescent="0.25">
      <c r="E245" s="2"/>
      <c r="H245"/>
    </row>
    <row r="246" spans="5:8" ht="14.25" customHeight="1" x14ac:dyDescent="0.25">
      <c r="E246" s="2"/>
      <c r="H246"/>
    </row>
    <row r="247" spans="5:8" ht="14.25" customHeight="1" x14ac:dyDescent="0.25">
      <c r="E247" s="2"/>
      <c r="H247"/>
    </row>
    <row r="248" spans="5:8" ht="14.25" customHeight="1" x14ac:dyDescent="0.25">
      <c r="E248" s="2"/>
      <c r="H248"/>
    </row>
    <row r="249" spans="5:8" ht="14.25" customHeight="1" x14ac:dyDescent="0.25">
      <c r="E249" s="2"/>
      <c r="H249"/>
    </row>
    <row r="250" spans="5:8" ht="14.25" customHeight="1" x14ac:dyDescent="0.25">
      <c r="E250" s="2"/>
      <c r="H250"/>
    </row>
    <row r="251" spans="5:8" ht="14.25" customHeight="1" x14ac:dyDescent="0.25">
      <c r="E251" s="2"/>
      <c r="H251"/>
    </row>
    <row r="252" spans="5:8" ht="14.25" customHeight="1" x14ac:dyDescent="0.25">
      <c r="E252" s="2"/>
      <c r="H252"/>
    </row>
    <row r="253" spans="5:8" ht="14.25" customHeight="1" x14ac:dyDescent="0.25">
      <c r="E253" s="2"/>
      <c r="H253"/>
    </row>
    <row r="254" spans="5:8" ht="14.25" customHeight="1" x14ac:dyDescent="0.25">
      <c r="E254" s="2"/>
      <c r="H254"/>
    </row>
    <row r="255" spans="5:8" ht="14.25" customHeight="1" x14ac:dyDescent="0.25">
      <c r="E255" s="2"/>
      <c r="H255"/>
    </row>
    <row r="256" spans="5:8" ht="14.25" customHeight="1" x14ac:dyDescent="0.25">
      <c r="E256" s="2"/>
      <c r="H256"/>
    </row>
    <row r="257" spans="5:8" ht="14.25" customHeight="1" x14ac:dyDescent="0.25">
      <c r="E257" s="2"/>
      <c r="H257"/>
    </row>
    <row r="258" spans="5:8" ht="14.25" customHeight="1" x14ac:dyDescent="0.25">
      <c r="E258" s="2"/>
      <c r="H258"/>
    </row>
    <row r="259" spans="5:8" ht="14.25" customHeight="1" x14ac:dyDescent="0.25">
      <c r="E259" s="2"/>
      <c r="H259"/>
    </row>
    <row r="260" spans="5:8" ht="14.25" customHeight="1" x14ac:dyDescent="0.25">
      <c r="E260" s="2"/>
      <c r="H260"/>
    </row>
    <row r="261" spans="5:8" ht="14.25" customHeight="1" x14ac:dyDescent="0.25">
      <c r="E261" s="2"/>
      <c r="H261"/>
    </row>
    <row r="262" spans="5:8" ht="14.25" customHeight="1" x14ac:dyDescent="0.25">
      <c r="E262" s="2"/>
      <c r="H262"/>
    </row>
    <row r="263" spans="5:8" ht="14.25" customHeight="1" x14ac:dyDescent="0.25">
      <c r="E263" s="2"/>
      <c r="H263"/>
    </row>
    <row r="264" spans="5:8" ht="14.25" customHeight="1" x14ac:dyDescent="0.25">
      <c r="E264" s="2"/>
      <c r="H264"/>
    </row>
    <row r="265" spans="5:8" ht="14.25" customHeight="1" x14ac:dyDescent="0.25">
      <c r="E265" s="2"/>
      <c r="H265"/>
    </row>
    <row r="266" spans="5:8" ht="14.25" customHeight="1" x14ac:dyDescent="0.25">
      <c r="E266" s="2"/>
      <c r="H266"/>
    </row>
    <row r="267" spans="5:8" ht="14.25" customHeight="1" x14ac:dyDescent="0.25">
      <c r="E267" s="2"/>
      <c r="H267"/>
    </row>
    <row r="268" spans="5:8" ht="14.25" customHeight="1" x14ac:dyDescent="0.25">
      <c r="E268" s="2"/>
      <c r="H268"/>
    </row>
    <row r="269" spans="5:8" ht="14.25" customHeight="1" x14ac:dyDescent="0.25">
      <c r="E269" s="2"/>
      <c r="H269"/>
    </row>
    <row r="270" spans="5:8" ht="14.25" customHeight="1" x14ac:dyDescent="0.25">
      <c r="E270" s="2"/>
      <c r="H270"/>
    </row>
    <row r="271" spans="5:8" ht="14.25" customHeight="1" x14ac:dyDescent="0.25">
      <c r="E271" s="2"/>
      <c r="H271"/>
    </row>
    <row r="272" spans="5:8" ht="14.25" customHeight="1" x14ac:dyDescent="0.25">
      <c r="E272" s="2"/>
      <c r="H272"/>
    </row>
    <row r="273" spans="5:8" ht="14.25" customHeight="1" x14ac:dyDescent="0.25">
      <c r="E273" s="2"/>
      <c r="H273"/>
    </row>
    <row r="274" spans="5:8" ht="14.25" customHeight="1" x14ac:dyDescent="0.25">
      <c r="E274" s="2"/>
      <c r="H274"/>
    </row>
    <row r="275" spans="5:8" ht="14.25" customHeight="1" x14ac:dyDescent="0.25">
      <c r="E275" s="2"/>
      <c r="H275"/>
    </row>
    <row r="276" spans="5:8" ht="14.25" customHeight="1" x14ac:dyDescent="0.25">
      <c r="E276" s="2"/>
      <c r="H276"/>
    </row>
    <row r="277" spans="5:8" ht="14.25" customHeight="1" x14ac:dyDescent="0.25">
      <c r="E277" s="2"/>
      <c r="H277"/>
    </row>
    <row r="278" spans="5:8" ht="14.25" customHeight="1" x14ac:dyDescent="0.25">
      <c r="E278" s="2"/>
      <c r="H278"/>
    </row>
    <row r="279" spans="5:8" ht="14.25" customHeight="1" x14ac:dyDescent="0.25">
      <c r="E279" s="2"/>
      <c r="H279"/>
    </row>
    <row r="280" spans="5:8" ht="14.25" customHeight="1" x14ac:dyDescent="0.25">
      <c r="E280" s="2"/>
      <c r="H280"/>
    </row>
    <row r="281" spans="5:8" ht="14.25" customHeight="1" x14ac:dyDescent="0.25">
      <c r="E281" s="2"/>
      <c r="H281"/>
    </row>
    <row r="282" spans="5:8" ht="14.25" customHeight="1" x14ac:dyDescent="0.25">
      <c r="E282" s="2"/>
      <c r="H282"/>
    </row>
    <row r="283" spans="5:8" ht="14.25" customHeight="1" x14ac:dyDescent="0.25">
      <c r="E283" s="2"/>
      <c r="H283"/>
    </row>
    <row r="284" spans="5:8" ht="14.25" customHeight="1" x14ac:dyDescent="0.25">
      <c r="E284" s="2"/>
      <c r="H284"/>
    </row>
    <row r="285" spans="5:8" ht="14.25" customHeight="1" x14ac:dyDescent="0.25">
      <c r="E285" s="2"/>
      <c r="H285"/>
    </row>
    <row r="286" spans="5:8" ht="14.25" customHeight="1" x14ac:dyDescent="0.25">
      <c r="E286" s="2"/>
      <c r="H286"/>
    </row>
    <row r="287" spans="5:8" ht="14.25" customHeight="1" x14ac:dyDescent="0.25">
      <c r="E287" s="2"/>
      <c r="H287"/>
    </row>
    <row r="288" spans="5:8" ht="14.25" customHeight="1" x14ac:dyDescent="0.25">
      <c r="E288" s="2"/>
      <c r="H288"/>
    </row>
    <row r="289" spans="5:8" ht="14.25" customHeight="1" x14ac:dyDescent="0.25">
      <c r="E289" s="2"/>
      <c r="H289"/>
    </row>
    <row r="290" spans="5:8" ht="14.25" customHeight="1" x14ac:dyDescent="0.25">
      <c r="E290" s="2"/>
      <c r="H290"/>
    </row>
    <row r="291" spans="5:8" ht="14.25" customHeight="1" x14ac:dyDescent="0.25">
      <c r="E291" s="2"/>
      <c r="H291"/>
    </row>
    <row r="292" spans="5:8" ht="14.25" customHeight="1" x14ac:dyDescent="0.25">
      <c r="E292" s="2"/>
      <c r="H292"/>
    </row>
    <row r="293" spans="5:8" ht="14.25" customHeight="1" x14ac:dyDescent="0.25">
      <c r="E293" s="2"/>
      <c r="H293"/>
    </row>
    <row r="294" spans="5:8" ht="14.25" customHeight="1" x14ac:dyDescent="0.25">
      <c r="E294" s="2"/>
      <c r="H294"/>
    </row>
    <row r="295" spans="5:8" ht="14.25" customHeight="1" x14ac:dyDescent="0.25">
      <c r="E295" s="2"/>
      <c r="H295"/>
    </row>
    <row r="296" spans="5:8" ht="14.25" customHeight="1" x14ac:dyDescent="0.25">
      <c r="E296" s="2"/>
      <c r="H296"/>
    </row>
    <row r="297" spans="5:8" ht="14.25" customHeight="1" x14ac:dyDescent="0.25">
      <c r="E297" s="2"/>
      <c r="H297"/>
    </row>
    <row r="298" spans="5:8" ht="14.25" customHeight="1" x14ac:dyDescent="0.25">
      <c r="E298" s="2"/>
      <c r="H298"/>
    </row>
    <row r="299" spans="5:8" ht="14.25" customHeight="1" x14ac:dyDescent="0.25">
      <c r="E299" s="2"/>
      <c r="H299"/>
    </row>
    <row r="300" spans="5:8" ht="14.25" customHeight="1" x14ac:dyDescent="0.25">
      <c r="E300" s="2"/>
      <c r="H300"/>
    </row>
    <row r="301" spans="5:8" ht="14.25" customHeight="1" x14ac:dyDescent="0.25">
      <c r="E301" s="2"/>
      <c r="H301"/>
    </row>
    <row r="302" spans="5:8" ht="14.25" customHeight="1" x14ac:dyDescent="0.25">
      <c r="E302" s="2"/>
      <c r="H302"/>
    </row>
    <row r="303" spans="5:8" ht="14.25" customHeight="1" x14ac:dyDescent="0.25">
      <c r="E303" s="2"/>
      <c r="H303"/>
    </row>
    <row r="304" spans="5:8" ht="14.25" customHeight="1" x14ac:dyDescent="0.25">
      <c r="E304" s="2"/>
      <c r="H304"/>
    </row>
    <row r="305" spans="5:8" ht="14.25" customHeight="1" x14ac:dyDescent="0.25">
      <c r="E305" s="2"/>
      <c r="H305"/>
    </row>
    <row r="306" spans="5:8" ht="14.25" customHeight="1" x14ac:dyDescent="0.25">
      <c r="E306" s="2"/>
      <c r="H306"/>
    </row>
    <row r="307" spans="5:8" ht="14.25" customHeight="1" x14ac:dyDescent="0.25">
      <c r="E307" s="2"/>
      <c r="H307"/>
    </row>
    <row r="308" spans="5:8" ht="14.25" customHeight="1" x14ac:dyDescent="0.25">
      <c r="E308" s="2"/>
      <c r="H308"/>
    </row>
    <row r="309" spans="5:8" ht="14.25" customHeight="1" x14ac:dyDescent="0.25">
      <c r="E309" s="2"/>
      <c r="H309"/>
    </row>
    <row r="310" spans="5:8" ht="14.25" customHeight="1" x14ac:dyDescent="0.25">
      <c r="E310" s="2"/>
      <c r="H310"/>
    </row>
    <row r="311" spans="5:8" ht="14.25" customHeight="1" x14ac:dyDescent="0.25">
      <c r="E311" s="2"/>
      <c r="H311"/>
    </row>
    <row r="312" spans="5:8" ht="14.25" customHeight="1" x14ac:dyDescent="0.25">
      <c r="E312" s="2"/>
      <c r="H312"/>
    </row>
    <row r="313" spans="5:8" ht="14.25" customHeight="1" x14ac:dyDescent="0.25">
      <c r="E313" s="2"/>
      <c r="H313"/>
    </row>
    <row r="314" spans="5:8" ht="14.25" customHeight="1" x14ac:dyDescent="0.25">
      <c r="E314" s="2"/>
      <c r="H314"/>
    </row>
    <row r="315" spans="5:8" ht="14.25" customHeight="1" x14ac:dyDescent="0.25">
      <c r="E315" s="2"/>
      <c r="H315"/>
    </row>
    <row r="316" spans="5:8" ht="14.25" customHeight="1" x14ac:dyDescent="0.25">
      <c r="E316" s="2"/>
      <c r="H316"/>
    </row>
    <row r="317" spans="5:8" ht="14.25" customHeight="1" x14ac:dyDescent="0.25">
      <c r="E317" s="2"/>
      <c r="H317"/>
    </row>
    <row r="318" spans="5:8" ht="14.25" customHeight="1" x14ac:dyDescent="0.25">
      <c r="E318" s="2"/>
      <c r="H318"/>
    </row>
    <row r="319" spans="5:8" ht="14.25" customHeight="1" x14ac:dyDescent="0.25">
      <c r="E319" s="2"/>
      <c r="H319"/>
    </row>
    <row r="320" spans="5:8" ht="14.25" customHeight="1" x14ac:dyDescent="0.25">
      <c r="E320" s="2"/>
      <c r="H320"/>
    </row>
    <row r="321" spans="5:8" ht="14.25" customHeight="1" x14ac:dyDescent="0.25">
      <c r="E321" s="2"/>
      <c r="H321"/>
    </row>
    <row r="322" spans="5:8" ht="14.25" customHeight="1" x14ac:dyDescent="0.25">
      <c r="E322" s="2"/>
      <c r="H322"/>
    </row>
    <row r="323" spans="5:8" ht="14.25" customHeight="1" x14ac:dyDescent="0.25">
      <c r="E323" s="2"/>
      <c r="H323"/>
    </row>
    <row r="324" spans="5:8" ht="14.25" customHeight="1" x14ac:dyDescent="0.25">
      <c r="E324" s="2"/>
      <c r="H324"/>
    </row>
    <row r="325" spans="5:8" ht="14.25" customHeight="1" x14ac:dyDescent="0.25">
      <c r="E325" s="2"/>
      <c r="H325"/>
    </row>
    <row r="326" spans="5:8" ht="14.25" customHeight="1" x14ac:dyDescent="0.25">
      <c r="E326" s="2"/>
      <c r="H326"/>
    </row>
    <row r="327" spans="5:8" ht="14.25" customHeight="1" x14ac:dyDescent="0.25">
      <c r="E327" s="2"/>
      <c r="H327"/>
    </row>
    <row r="328" spans="5:8" ht="14.25" customHeight="1" x14ac:dyDescent="0.25">
      <c r="E328" s="2"/>
      <c r="H328"/>
    </row>
    <row r="329" spans="5:8" ht="14.25" customHeight="1" x14ac:dyDescent="0.25">
      <c r="E329" s="2"/>
      <c r="H329"/>
    </row>
    <row r="330" spans="5:8" ht="14.25" customHeight="1" x14ac:dyDescent="0.25">
      <c r="E330" s="2"/>
      <c r="H330"/>
    </row>
    <row r="331" spans="5:8" ht="14.25" customHeight="1" x14ac:dyDescent="0.25">
      <c r="E331" s="2"/>
      <c r="H331"/>
    </row>
    <row r="332" spans="5:8" ht="14.25" customHeight="1" x14ac:dyDescent="0.25">
      <c r="E332" s="2"/>
      <c r="H332"/>
    </row>
    <row r="333" spans="5:8" ht="14.25" customHeight="1" x14ac:dyDescent="0.25">
      <c r="E333" s="2"/>
      <c r="H333"/>
    </row>
    <row r="334" spans="5:8" ht="14.25" customHeight="1" x14ac:dyDescent="0.25">
      <c r="E334" s="2"/>
      <c r="H334"/>
    </row>
    <row r="335" spans="5:8" ht="14.25" customHeight="1" x14ac:dyDescent="0.25">
      <c r="E335" s="2"/>
      <c r="H335"/>
    </row>
    <row r="336" spans="5:8" ht="14.25" customHeight="1" x14ac:dyDescent="0.25">
      <c r="E336" s="2"/>
      <c r="H336"/>
    </row>
    <row r="337" spans="5:8" ht="14.25" customHeight="1" x14ac:dyDescent="0.25">
      <c r="E337" s="2"/>
      <c r="H337"/>
    </row>
    <row r="338" spans="5:8" ht="14.25" customHeight="1" x14ac:dyDescent="0.25">
      <c r="E338" s="2"/>
      <c r="H338"/>
    </row>
    <row r="339" spans="5:8" ht="14.25" customHeight="1" x14ac:dyDescent="0.25">
      <c r="E339" s="2"/>
      <c r="H339"/>
    </row>
    <row r="340" spans="5:8" ht="14.25" customHeight="1" x14ac:dyDescent="0.25">
      <c r="E340" s="2"/>
      <c r="H340"/>
    </row>
    <row r="341" spans="5:8" ht="14.25" customHeight="1" x14ac:dyDescent="0.25">
      <c r="E341" s="2"/>
      <c r="H341"/>
    </row>
    <row r="342" spans="5:8" ht="14.25" customHeight="1" x14ac:dyDescent="0.25">
      <c r="E342" s="2"/>
      <c r="H342"/>
    </row>
    <row r="343" spans="5:8" ht="14.25" customHeight="1" x14ac:dyDescent="0.25">
      <c r="E343" s="2"/>
      <c r="H343"/>
    </row>
    <row r="344" spans="5:8" ht="14.25" customHeight="1" x14ac:dyDescent="0.25">
      <c r="E344" s="2"/>
      <c r="H344"/>
    </row>
    <row r="345" spans="5:8" ht="14.25" customHeight="1" x14ac:dyDescent="0.25">
      <c r="E345" s="2"/>
      <c r="H345"/>
    </row>
    <row r="346" spans="5:8" ht="14.25" customHeight="1" x14ac:dyDescent="0.25">
      <c r="E346" s="2"/>
      <c r="H346"/>
    </row>
    <row r="347" spans="5:8" ht="14.25" customHeight="1" x14ac:dyDescent="0.25">
      <c r="E347" s="2"/>
      <c r="H347"/>
    </row>
    <row r="348" spans="5:8" ht="14.25" customHeight="1" x14ac:dyDescent="0.25">
      <c r="E348" s="2"/>
      <c r="H348"/>
    </row>
    <row r="349" spans="5:8" ht="14.25" customHeight="1" x14ac:dyDescent="0.25">
      <c r="E349" s="2"/>
      <c r="H349"/>
    </row>
    <row r="350" spans="5:8" ht="14.25" customHeight="1" x14ac:dyDescent="0.25">
      <c r="E350" s="2"/>
      <c r="H350"/>
    </row>
    <row r="351" spans="5:8" ht="14.25" customHeight="1" x14ac:dyDescent="0.25">
      <c r="E351" s="2"/>
      <c r="H351"/>
    </row>
    <row r="352" spans="5:8" ht="14.25" customHeight="1" x14ac:dyDescent="0.25">
      <c r="E352" s="2"/>
      <c r="H352"/>
    </row>
    <row r="353" spans="5:8" ht="14.25" customHeight="1" x14ac:dyDescent="0.25">
      <c r="E353" s="2"/>
      <c r="H353"/>
    </row>
    <row r="354" spans="5:8" ht="14.25" customHeight="1" x14ac:dyDescent="0.25">
      <c r="E354" s="2"/>
      <c r="H354"/>
    </row>
    <row r="355" spans="5:8" ht="14.25" customHeight="1" x14ac:dyDescent="0.25">
      <c r="E355" s="2"/>
      <c r="H355"/>
    </row>
    <row r="356" spans="5:8" ht="14.25" customHeight="1" x14ac:dyDescent="0.25">
      <c r="E356" s="2"/>
      <c r="H356"/>
    </row>
    <row r="357" spans="5:8" ht="14.25" customHeight="1" x14ac:dyDescent="0.25">
      <c r="E357" s="2"/>
      <c r="H357"/>
    </row>
    <row r="358" spans="5:8" ht="14.25" customHeight="1" x14ac:dyDescent="0.25">
      <c r="E358" s="2"/>
      <c r="H358"/>
    </row>
    <row r="359" spans="5:8" ht="14.25" customHeight="1" x14ac:dyDescent="0.25">
      <c r="E359" s="2"/>
      <c r="H359"/>
    </row>
    <row r="360" spans="5:8" ht="14.25" customHeight="1" x14ac:dyDescent="0.25">
      <c r="E360" s="2"/>
      <c r="H360"/>
    </row>
    <row r="361" spans="5:8" ht="14.25" customHeight="1" x14ac:dyDescent="0.25">
      <c r="E361" s="2"/>
      <c r="H361"/>
    </row>
    <row r="362" spans="5:8" ht="14.25" customHeight="1" x14ac:dyDescent="0.25">
      <c r="E362" s="2"/>
      <c r="H362"/>
    </row>
    <row r="363" spans="5:8" ht="14.25" customHeight="1" x14ac:dyDescent="0.25">
      <c r="E363" s="2"/>
      <c r="H363"/>
    </row>
    <row r="364" spans="5:8" ht="14.25" customHeight="1" x14ac:dyDescent="0.25">
      <c r="E364" s="2"/>
      <c r="H364"/>
    </row>
    <row r="365" spans="5:8" ht="14.25" customHeight="1" x14ac:dyDescent="0.25">
      <c r="E365" s="2"/>
      <c r="H365"/>
    </row>
    <row r="366" spans="5:8" ht="14.25" customHeight="1" x14ac:dyDescent="0.25">
      <c r="E366" s="2"/>
      <c r="H366"/>
    </row>
    <row r="367" spans="5:8" ht="14.25" customHeight="1" x14ac:dyDescent="0.25">
      <c r="E367" s="2"/>
      <c r="H367"/>
    </row>
    <row r="368" spans="5:8" ht="14.25" customHeight="1" x14ac:dyDescent="0.25">
      <c r="E368" s="2"/>
      <c r="H368"/>
    </row>
    <row r="369" spans="5:8" ht="14.25" customHeight="1" x14ac:dyDescent="0.25">
      <c r="E369" s="2"/>
      <c r="H369"/>
    </row>
    <row r="370" spans="5:8" ht="14.25" customHeight="1" x14ac:dyDescent="0.25">
      <c r="E370" s="2"/>
      <c r="H370"/>
    </row>
    <row r="371" spans="5:8" ht="14.25" customHeight="1" x14ac:dyDescent="0.25">
      <c r="E371" s="2"/>
      <c r="H371"/>
    </row>
    <row r="372" spans="5:8" ht="14.25" customHeight="1" x14ac:dyDescent="0.25">
      <c r="E372" s="2"/>
      <c r="H372"/>
    </row>
    <row r="373" spans="5:8" ht="14.25" customHeight="1" x14ac:dyDescent="0.25">
      <c r="E373" s="2"/>
      <c r="H373"/>
    </row>
    <row r="374" spans="5:8" ht="14.25" customHeight="1" x14ac:dyDescent="0.25">
      <c r="E374" s="2"/>
      <c r="H374"/>
    </row>
    <row r="375" spans="5:8" ht="14.25" customHeight="1" x14ac:dyDescent="0.25">
      <c r="E375" s="2"/>
      <c r="H375"/>
    </row>
    <row r="376" spans="5:8" ht="14.25" customHeight="1" x14ac:dyDescent="0.25">
      <c r="E376" s="2"/>
      <c r="H376"/>
    </row>
    <row r="377" spans="5:8" ht="14.25" customHeight="1" x14ac:dyDescent="0.25">
      <c r="E377" s="2"/>
      <c r="H377"/>
    </row>
    <row r="378" spans="5:8" ht="14.25" customHeight="1" x14ac:dyDescent="0.25">
      <c r="E378" s="2"/>
      <c r="H378"/>
    </row>
    <row r="379" spans="5:8" ht="14.25" customHeight="1" x14ac:dyDescent="0.25">
      <c r="E379" s="2"/>
      <c r="H379"/>
    </row>
    <row r="380" spans="5:8" ht="14.25" customHeight="1" x14ac:dyDescent="0.25">
      <c r="E380" s="2"/>
      <c r="H380"/>
    </row>
    <row r="381" spans="5:8" ht="14.25" customHeight="1" x14ac:dyDescent="0.25">
      <c r="E381" s="2"/>
      <c r="H381"/>
    </row>
    <row r="382" spans="5:8" ht="14.25" customHeight="1" x14ac:dyDescent="0.25">
      <c r="E382" s="2"/>
      <c r="H382"/>
    </row>
    <row r="383" spans="5:8" ht="14.25" customHeight="1" x14ac:dyDescent="0.25">
      <c r="E383" s="2"/>
      <c r="H383"/>
    </row>
    <row r="384" spans="5:8" ht="14.25" customHeight="1" x14ac:dyDescent="0.25">
      <c r="E384" s="2"/>
      <c r="H384"/>
    </row>
    <row r="385" spans="5:8" ht="14.25" customHeight="1" x14ac:dyDescent="0.25">
      <c r="E385" s="2"/>
      <c r="H385"/>
    </row>
    <row r="386" spans="5:8" ht="14.25" customHeight="1" x14ac:dyDescent="0.25">
      <c r="E386" s="2"/>
      <c r="H386"/>
    </row>
    <row r="387" spans="5:8" ht="14.25" customHeight="1" x14ac:dyDescent="0.25">
      <c r="E387" s="2"/>
      <c r="H387"/>
    </row>
    <row r="388" spans="5:8" ht="14.25" customHeight="1" x14ac:dyDescent="0.25">
      <c r="E388" s="2"/>
      <c r="H388"/>
    </row>
    <row r="389" spans="5:8" ht="14.25" customHeight="1" x14ac:dyDescent="0.25">
      <c r="E389" s="2"/>
      <c r="H389"/>
    </row>
    <row r="390" spans="5:8" ht="14.25" customHeight="1" x14ac:dyDescent="0.25">
      <c r="E390" s="2"/>
      <c r="H390"/>
    </row>
    <row r="391" spans="5:8" ht="14.25" customHeight="1" x14ac:dyDescent="0.25">
      <c r="E391" s="2"/>
      <c r="H391"/>
    </row>
    <row r="392" spans="5:8" ht="14.25" customHeight="1" x14ac:dyDescent="0.25">
      <c r="E392" s="2"/>
      <c r="H392"/>
    </row>
    <row r="393" spans="5:8" ht="14.25" customHeight="1" x14ac:dyDescent="0.25">
      <c r="E393" s="2"/>
      <c r="H393"/>
    </row>
    <row r="394" spans="5:8" ht="14.25" customHeight="1" x14ac:dyDescent="0.25">
      <c r="E394" s="2"/>
      <c r="H394"/>
    </row>
    <row r="395" spans="5:8" ht="14.25" customHeight="1" x14ac:dyDescent="0.25">
      <c r="E395" s="2"/>
      <c r="H395"/>
    </row>
    <row r="396" spans="5:8" ht="14.25" customHeight="1" x14ac:dyDescent="0.25">
      <c r="E396" s="2"/>
      <c r="H396"/>
    </row>
    <row r="397" spans="5:8" ht="14.25" customHeight="1" x14ac:dyDescent="0.25">
      <c r="E397" s="2"/>
      <c r="H397"/>
    </row>
    <row r="398" spans="5:8" ht="14.25" customHeight="1" x14ac:dyDescent="0.25">
      <c r="E398" s="2"/>
      <c r="H398"/>
    </row>
    <row r="399" spans="5:8" ht="14.25" customHeight="1" x14ac:dyDescent="0.25">
      <c r="E399" s="2"/>
      <c r="H399"/>
    </row>
    <row r="400" spans="5:8" ht="14.25" customHeight="1" x14ac:dyDescent="0.25">
      <c r="E400" s="2"/>
      <c r="H400"/>
    </row>
    <row r="401" spans="5:8" ht="14.25" customHeight="1" x14ac:dyDescent="0.25">
      <c r="E401" s="2"/>
      <c r="H401"/>
    </row>
    <row r="402" spans="5:8" ht="14.25" customHeight="1" x14ac:dyDescent="0.25">
      <c r="E402" s="2"/>
      <c r="H402"/>
    </row>
    <row r="403" spans="5:8" ht="14.25" customHeight="1" x14ac:dyDescent="0.25">
      <c r="E403" s="2"/>
      <c r="H403"/>
    </row>
    <row r="404" spans="5:8" ht="14.25" customHeight="1" x14ac:dyDescent="0.25">
      <c r="E404" s="2"/>
      <c r="H404"/>
    </row>
    <row r="405" spans="5:8" ht="14.25" customHeight="1" x14ac:dyDescent="0.25">
      <c r="E405" s="2"/>
      <c r="H405"/>
    </row>
    <row r="406" spans="5:8" ht="14.25" customHeight="1" x14ac:dyDescent="0.25">
      <c r="E406" s="2"/>
      <c r="H406"/>
    </row>
    <row r="407" spans="5:8" ht="14.25" customHeight="1" x14ac:dyDescent="0.25">
      <c r="E407" s="2"/>
      <c r="H407"/>
    </row>
    <row r="408" spans="5:8" ht="14.25" customHeight="1" x14ac:dyDescent="0.25">
      <c r="E408" s="2"/>
      <c r="H408"/>
    </row>
    <row r="409" spans="5:8" ht="14.25" customHeight="1" x14ac:dyDescent="0.25">
      <c r="E409" s="2"/>
      <c r="H409"/>
    </row>
    <row r="410" spans="5:8" ht="14.25" customHeight="1" x14ac:dyDescent="0.25">
      <c r="E410" s="2"/>
      <c r="H410"/>
    </row>
    <row r="411" spans="5:8" ht="14.25" customHeight="1" x14ac:dyDescent="0.25">
      <c r="E411" s="2"/>
      <c r="H411"/>
    </row>
    <row r="412" spans="5:8" ht="14.25" customHeight="1" x14ac:dyDescent="0.25">
      <c r="E412" s="2"/>
      <c r="H412"/>
    </row>
    <row r="413" spans="5:8" ht="14.25" customHeight="1" x14ac:dyDescent="0.25">
      <c r="E413" s="2"/>
      <c r="H413"/>
    </row>
    <row r="414" spans="5:8" ht="14.25" customHeight="1" x14ac:dyDescent="0.25">
      <c r="E414" s="2"/>
      <c r="H414"/>
    </row>
    <row r="415" spans="5:8" ht="14.25" customHeight="1" x14ac:dyDescent="0.25">
      <c r="E415" s="2"/>
      <c r="H415"/>
    </row>
    <row r="416" spans="5:8" ht="14.25" customHeight="1" x14ac:dyDescent="0.25">
      <c r="E416" s="2"/>
      <c r="H416"/>
    </row>
    <row r="417" spans="5:8" ht="14.25" customHeight="1" x14ac:dyDescent="0.25">
      <c r="E417" s="2"/>
      <c r="H417"/>
    </row>
    <row r="418" spans="5:8" ht="14.25" customHeight="1" x14ac:dyDescent="0.25">
      <c r="E418" s="2"/>
      <c r="H418"/>
    </row>
    <row r="419" spans="5:8" ht="14.25" customHeight="1" x14ac:dyDescent="0.25">
      <c r="E419" s="2"/>
      <c r="H419"/>
    </row>
    <row r="420" spans="5:8" ht="14.25" customHeight="1" x14ac:dyDescent="0.25">
      <c r="E420" s="2"/>
      <c r="H420"/>
    </row>
    <row r="421" spans="5:8" ht="14.25" customHeight="1" x14ac:dyDescent="0.25">
      <c r="E421" s="2"/>
      <c r="H421"/>
    </row>
    <row r="422" spans="5:8" ht="14.25" customHeight="1" x14ac:dyDescent="0.25">
      <c r="E422" s="2"/>
      <c r="H422"/>
    </row>
    <row r="423" spans="5:8" ht="14.25" customHeight="1" x14ac:dyDescent="0.25">
      <c r="E423" s="2"/>
      <c r="H423"/>
    </row>
    <row r="424" spans="5:8" ht="14.25" customHeight="1" x14ac:dyDescent="0.25">
      <c r="E424" s="2"/>
      <c r="H424"/>
    </row>
    <row r="425" spans="5:8" ht="14.25" customHeight="1" x14ac:dyDescent="0.25">
      <c r="E425" s="2"/>
      <c r="H425"/>
    </row>
    <row r="426" spans="5:8" ht="14.25" customHeight="1" x14ac:dyDescent="0.25">
      <c r="E426" s="2"/>
      <c r="H426"/>
    </row>
    <row r="427" spans="5:8" ht="14.25" customHeight="1" x14ac:dyDescent="0.25">
      <c r="E427" s="2"/>
      <c r="H427"/>
    </row>
    <row r="428" spans="5:8" ht="14.25" customHeight="1" x14ac:dyDescent="0.25">
      <c r="E428" s="2"/>
      <c r="H428"/>
    </row>
    <row r="429" spans="5:8" ht="14.25" customHeight="1" x14ac:dyDescent="0.25">
      <c r="E429" s="2"/>
      <c r="H429"/>
    </row>
    <row r="430" spans="5:8" ht="14.25" customHeight="1" x14ac:dyDescent="0.25">
      <c r="E430" s="2"/>
      <c r="H430"/>
    </row>
    <row r="431" spans="5:8" ht="14.25" customHeight="1" x14ac:dyDescent="0.25">
      <c r="E431" s="2"/>
      <c r="H431"/>
    </row>
    <row r="432" spans="5:8" ht="14.25" customHeight="1" x14ac:dyDescent="0.25">
      <c r="E432" s="2"/>
      <c r="H432"/>
    </row>
    <row r="433" spans="5:8" ht="14.25" customHeight="1" x14ac:dyDescent="0.25">
      <c r="E433" s="2"/>
      <c r="H433"/>
    </row>
    <row r="434" spans="5:8" ht="14.25" customHeight="1" x14ac:dyDescent="0.25">
      <c r="E434" s="2"/>
      <c r="H434"/>
    </row>
    <row r="435" spans="5:8" ht="14.25" customHeight="1" x14ac:dyDescent="0.25">
      <c r="E435" s="2"/>
      <c r="H435"/>
    </row>
    <row r="436" spans="5:8" ht="14.25" customHeight="1" x14ac:dyDescent="0.25">
      <c r="E436" s="2"/>
      <c r="H436"/>
    </row>
    <row r="437" spans="5:8" ht="14.25" customHeight="1" x14ac:dyDescent="0.25">
      <c r="E437" s="2"/>
      <c r="H437"/>
    </row>
    <row r="438" spans="5:8" ht="14.25" customHeight="1" x14ac:dyDescent="0.25">
      <c r="E438" s="2"/>
      <c r="H438"/>
    </row>
    <row r="439" spans="5:8" ht="14.25" customHeight="1" x14ac:dyDescent="0.25">
      <c r="E439" s="2"/>
      <c r="H439"/>
    </row>
    <row r="440" spans="5:8" ht="14.25" customHeight="1" x14ac:dyDescent="0.25">
      <c r="E440" s="2"/>
      <c r="H440"/>
    </row>
    <row r="441" spans="5:8" ht="14.25" customHeight="1" x14ac:dyDescent="0.25">
      <c r="E441" s="2"/>
      <c r="H441"/>
    </row>
    <row r="442" spans="5:8" ht="14.25" customHeight="1" x14ac:dyDescent="0.25">
      <c r="E442" s="2"/>
      <c r="H442"/>
    </row>
    <row r="443" spans="5:8" ht="14.25" customHeight="1" x14ac:dyDescent="0.25">
      <c r="E443" s="2"/>
      <c r="H443"/>
    </row>
    <row r="444" spans="5:8" ht="14.25" customHeight="1" x14ac:dyDescent="0.25">
      <c r="E444" s="2"/>
      <c r="H444"/>
    </row>
    <row r="445" spans="5:8" ht="14.25" customHeight="1" x14ac:dyDescent="0.25">
      <c r="E445" s="2"/>
      <c r="H445"/>
    </row>
    <row r="446" spans="5:8" ht="14.25" customHeight="1" x14ac:dyDescent="0.25">
      <c r="E446" s="2"/>
      <c r="H446"/>
    </row>
    <row r="447" spans="5:8" ht="14.25" customHeight="1" x14ac:dyDescent="0.25">
      <c r="E447" s="2"/>
      <c r="H447"/>
    </row>
    <row r="448" spans="5:8" ht="14.25" customHeight="1" x14ac:dyDescent="0.25">
      <c r="E448" s="2"/>
      <c r="H448"/>
    </row>
    <row r="449" spans="5:8" ht="14.25" customHeight="1" x14ac:dyDescent="0.25">
      <c r="E449" s="2"/>
      <c r="H449"/>
    </row>
    <row r="450" spans="5:8" ht="14.25" customHeight="1" x14ac:dyDescent="0.25">
      <c r="E450" s="2"/>
      <c r="H450"/>
    </row>
    <row r="451" spans="5:8" ht="14.25" customHeight="1" x14ac:dyDescent="0.25">
      <c r="E451" s="2"/>
      <c r="H451"/>
    </row>
    <row r="452" spans="5:8" ht="14.25" customHeight="1" x14ac:dyDescent="0.25">
      <c r="E452" s="2"/>
      <c r="H452"/>
    </row>
    <row r="453" spans="5:8" ht="14.25" customHeight="1" x14ac:dyDescent="0.25">
      <c r="E453" s="2"/>
      <c r="H453"/>
    </row>
    <row r="454" spans="5:8" ht="14.25" customHeight="1" x14ac:dyDescent="0.25">
      <c r="E454" s="2"/>
      <c r="H454"/>
    </row>
    <row r="455" spans="5:8" ht="14.25" customHeight="1" x14ac:dyDescent="0.25">
      <c r="E455" s="2"/>
      <c r="H455"/>
    </row>
    <row r="456" spans="5:8" ht="14.25" customHeight="1" x14ac:dyDescent="0.25">
      <c r="E456" s="2"/>
      <c r="H456"/>
    </row>
    <row r="457" spans="5:8" ht="14.25" customHeight="1" x14ac:dyDescent="0.25">
      <c r="E457" s="2"/>
      <c r="H457"/>
    </row>
    <row r="458" spans="5:8" ht="14.25" customHeight="1" x14ac:dyDescent="0.25">
      <c r="E458" s="2"/>
      <c r="H458"/>
    </row>
    <row r="459" spans="5:8" ht="14.25" customHeight="1" x14ac:dyDescent="0.25">
      <c r="E459" s="2"/>
      <c r="H459"/>
    </row>
    <row r="460" spans="5:8" ht="14.25" customHeight="1" x14ac:dyDescent="0.25">
      <c r="E460" s="2"/>
      <c r="H460"/>
    </row>
    <row r="461" spans="5:8" ht="14.25" customHeight="1" x14ac:dyDescent="0.25">
      <c r="E461" s="2"/>
      <c r="H461"/>
    </row>
    <row r="462" spans="5:8" ht="14.25" customHeight="1" x14ac:dyDescent="0.25">
      <c r="E462" s="2"/>
      <c r="H462"/>
    </row>
    <row r="463" spans="5:8" ht="14.25" customHeight="1" x14ac:dyDescent="0.25">
      <c r="E463" s="2"/>
      <c r="H463"/>
    </row>
    <row r="464" spans="5:8" ht="14.25" customHeight="1" x14ac:dyDescent="0.25">
      <c r="E464" s="2"/>
      <c r="H464"/>
    </row>
    <row r="465" spans="5:8" ht="14.25" customHeight="1" x14ac:dyDescent="0.25">
      <c r="E465" s="2"/>
      <c r="H465"/>
    </row>
    <row r="466" spans="5:8" ht="14.25" customHeight="1" x14ac:dyDescent="0.25">
      <c r="E466" s="2"/>
      <c r="H466"/>
    </row>
    <row r="467" spans="5:8" ht="14.25" customHeight="1" x14ac:dyDescent="0.25">
      <c r="E467" s="2"/>
      <c r="H467"/>
    </row>
    <row r="468" spans="5:8" ht="14.25" customHeight="1" x14ac:dyDescent="0.25">
      <c r="E468" s="2"/>
      <c r="H468"/>
    </row>
    <row r="469" spans="5:8" ht="14.25" customHeight="1" x14ac:dyDescent="0.25">
      <c r="E469" s="2"/>
      <c r="H469"/>
    </row>
    <row r="470" spans="5:8" ht="14.25" customHeight="1" x14ac:dyDescent="0.25">
      <c r="E470" s="2"/>
      <c r="H470"/>
    </row>
    <row r="471" spans="5:8" ht="14.25" customHeight="1" x14ac:dyDescent="0.25">
      <c r="E471" s="2"/>
      <c r="H471"/>
    </row>
    <row r="472" spans="5:8" ht="14.25" customHeight="1" x14ac:dyDescent="0.25">
      <c r="E472" s="2"/>
      <c r="H472"/>
    </row>
    <row r="473" spans="5:8" ht="14.25" customHeight="1" x14ac:dyDescent="0.25">
      <c r="E473" s="2"/>
      <c r="H473"/>
    </row>
    <row r="474" spans="5:8" ht="14.25" customHeight="1" x14ac:dyDescent="0.25">
      <c r="E474" s="2"/>
      <c r="H474"/>
    </row>
    <row r="475" spans="5:8" ht="14.25" customHeight="1" x14ac:dyDescent="0.25">
      <c r="E475" s="2"/>
      <c r="H475"/>
    </row>
    <row r="476" spans="5:8" ht="14.25" customHeight="1" x14ac:dyDescent="0.25">
      <c r="E476" s="2"/>
      <c r="H476"/>
    </row>
    <row r="477" spans="5:8" ht="14.25" customHeight="1" x14ac:dyDescent="0.25">
      <c r="E477" s="2"/>
      <c r="H477"/>
    </row>
    <row r="478" spans="5:8" ht="14.25" customHeight="1" x14ac:dyDescent="0.25">
      <c r="E478" s="2"/>
      <c r="H478"/>
    </row>
    <row r="479" spans="5:8" ht="14.25" customHeight="1" x14ac:dyDescent="0.25">
      <c r="E479" s="2"/>
      <c r="H479"/>
    </row>
    <row r="480" spans="5:8" ht="14.25" customHeight="1" x14ac:dyDescent="0.25">
      <c r="E480" s="2"/>
      <c r="H480"/>
    </row>
    <row r="481" spans="5:8" ht="14.25" customHeight="1" x14ac:dyDescent="0.25">
      <c r="E481" s="2"/>
      <c r="H481"/>
    </row>
    <row r="482" spans="5:8" ht="14.25" customHeight="1" x14ac:dyDescent="0.25">
      <c r="E482" s="2"/>
      <c r="H482"/>
    </row>
    <row r="483" spans="5:8" ht="14.25" customHeight="1" x14ac:dyDescent="0.25">
      <c r="E483" s="2"/>
      <c r="H483"/>
    </row>
    <row r="484" spans="5:8" ht="14.25" customHeight="1" x14ac:dyDescent="0.25">
      <c r="E484" s="2"/>
      <c r="H484"/>
    </row>
    <row r="485" spans="5:8" ht="14.25" customHeight="1" x14ac:dyDescent="0.25">
      <c r="E485" s="2"/>
      <c r="H485"/>
    </row>
    <row r="486" spans="5:8" ht="14.25" customHeight="1" x14ac:dyDescent="0.25">
      <c r="E486" s="2"/>
      <c r="H486"/>
    </row>
    <row r="487" spans="5:8" ht="14.25" customHeight="1" x14ac:dyDescent="0.25">
      <c r="E487" s="2"/>
      <c r="H487"/>
    </row>
    <row r="488" spans="5:8" ht="14.25" customHeight="1" x14ac:dyDescent="0.25">
      <c r="E488" s="2"/>
      <c r="H488"/>
    </row>
    <row r="489" spans="5:8" ht="14.25" customHeight="1" x14ac:dyDescent="0.25">
      <c r="E489" s="2"/>
      <c r="H489"/>
    </row>
    <row r="490" spans="5:8" ht="14.25" customHeight="1" x14ac:dyDescent="0.25">
      <c r="E490" s="2"/>
      <c r="H490"/>
    </row>
    <row r="491" spans="5:8" ht="14.25" customHeight="1" x14ac:dyDescent="0.25">
      <c r="E491" s="2"/>
      <c r="H491"/>
    </row>
    <row r="492" spans="5:8" ht="14.25" customHeight="1" x14ac:dyDescent="0.25">
      <c r="E492" s="2"/>
      <c r="H492"/>
    </row>
    <row r="493" spans="5:8" ht="14.25" customHeight="1" x14ac:dyDescent="0.25">
      <c r="E493" s="2"/>
      <c r="H493"/>
    </row>
    <row r="494" spans="5:8" ht="14.25" customHeight="1" x14ac:dyDescent="0.25">
      <c r="E494" s="2"/>
      <c r="H494"/>
    </row>
    <row r="495" spans="5:8" ht="14.25" customHeight="1" x14ac:dyDescent="0.25">
      <c r="E495" s="2"/>
      <c r="H495"/>
    </row>
    <row r="496" spans="5:8" ht="14.25" customHeight="1" x14ac:dyDescent="0.25">
      <c r="E496" s="2"/>
      <c r="H496"/>
    </row>
    <row r="497" spans="5:8" ht="14.25" customHeight="1" x14ac:dyDescent="0.25">
      <c r="E497" s="2"/>
      <c r="H497"/>
    </row>
    <row r="498" spans="5:8" ht="14.25" customHeight="1" x14ac:dyDescent="0.25">
      <c r="E498" s="2"/>
      <c r="H498"/>
    </row>
    <row r="499" spans="5:8" ht="14.25" customHeight="1" x14ac:dyDescent="0.25">
      <c r="E499" s="2"/>
      <c r="H499"/>
    </row>
    <row r="500" spans="5:8" ht="14.25" customHeight="1" x14ac:dyDescent="0.25">
      <c r="E500" s="2"/>
      <c r="H500"/>
    </row>
    <row r="501" spans="5:8" ht="14.25" customHeight="1" x14ac:dyDescent="0.25">
      <c r="E501" s="2"/>
      <c r="H501"/>
    </row>
    <row r="502" spans="5:8" ht="14.25" customHeight="1" x14ac:dyDescent="0.25">
      <c r="E502" s="2"/>
      <c r="H502"/>
    </row>
    <row r="503" spans="5:8" ht="14.25" customHeight="1" x14ac:dyDescent="0.25">
      <c r="E503" s="2"/>
      <c r="H503"/>
    </row>
    <row r="504" spans="5:8" ht="14.25" customHeight="1" x14ac:dyDescent="0.25">
      <c r="E504" s="2"/>
      <c r="H504"/>
    </row>
    <row r="505" spans="5:8" ht="14.25" customHeight="1" x14ac:dyDescent="0.25">
      <c r="E505" s="2"/>
      <c r="H505"/>
    </row>
    <row r="506" spans="5:8" ht="14.25" customHeight="1" x14ac:dyDescent="0.25">
      <c r="E506" s="2"/>
      <c r="H506"/>
    </row>
    <row r="507" spans="5:8" ht="14.25" customHeight="1" x14ac:dyDescent="0.25">
      <c r="E507" s="2"/>
      <c r="H507"/>
    </row>
    <row r="508" spans="5:8" ht="14.25" customHeight="1" x14ac:dyDescent="0.25">
      <c r="E508" s="2"/>
      <c r="H508"/>
    </row>
    <row r="509" spans="5:8" ht="14.25" customHeight="1" x14ac:dyDescent="0.25">
      <c r="E509" s="2"/>
      <c r="H509"/>
    </row>
    <row r="510" spans="5:8" ht="14.25" customHeight="1" x14ac:dyDescent="0.25">
      <c r="E510" s="2"/>
      <c r="H510"/>
    </row>
    <row r="511" spans="5:8" ht="14.25" customHeight="1" x14ac:dyDescent="0.25">
      <c r="E511" s="2"/>
      <c r="H511"/>
    </row>
    <row r="512" spans="5:8" ht="14.25" customHeight="1" x14ac:dyDescent="0.25">
      <c r="E512" s="2"/>
      <c r="H512"/>
    </row>
    <row r="513" spans="5:8" ht="14.25" customHeight="1" x14ac:dyDescent="0.25">
      <c r="E513" s="2"/>
      <c r="H513"/>
    </row>
    <row r="514" spans="5:8" ht="14.25" customHeight="1" x14ac:dyDescent="0.25">
      <c r="E514" s="2"/>
      <c r="H514"/>
    </row>
    <row r="515" spans="5:8" ht="14.25" customHeight="1" x14ac:dyDescent="0.25">
      <c r="E515" s="2"/>
      <c r="H515"/>
    </row>
    <row r="516" spans="5:8" ht="14.25" customHeight="1" x14ac:dyDescent="0.25">
      <c r="E516" s="2"/>
      <c r="H516"/>
    </row>
    <row r="517" spans="5:8" ht="14.25" customHeight="1" x14ac:dyDescent="0.25">
      <c r="E517" s="2"/>
      <c r="H517"/>
    </row>
    <row r="518" spans="5:8" ht="14.25" customHeight="1" x14ac:dyDescent="0.25">
      <c r="E518" s="2"/>
      <c r="H518"/>
    </row>
    <row r="519" spans="5:8" ht="14.25" customHeight="1" x14ac:dyDescent="0.25">
      <c r="E519" s="2"/>
      <c r="H519"/>
    </row>
    <row r="520" spans="5:8" ht="14.25" customHeight="1" x14ac:dyDescent="0.25">
      <c r="E520" s="2"/>
      <c r="H520"/>
    </row>
    <row r="521" spans="5:8" ht="14.25" customHeight="1" x14ac:dyDescent="0.25">
      <c r="E521" s="2"/>
      <c r="H521"/>
    </row>
    <row r="522" spans="5:8" ht="14.25" customHeight="1" x14ac:dyDescent="0.25">
      <c r="E522" s="2"/>
      <c r="H522"/>
    </row>
    <row r="523" spans="5:8" ht="14.25" customHeight="1" x14ac:dyDescent="0.25">
      <c r="E523" s="2"/>
      <c r="H523"/>
    </row>
    <row r="524" spans="5:8" ht="14.25" customHeight="1" x14ac:dyDescent="0.25">
      <c r="E524" s="2"/>
      <c r="H524"/>
    </row>
    <row r="525" spans="5:8" ht="14.25" customHeight="1" x14ac:dyDescent="0.25">
      <c r="E525" s="2"/>
      <c r="H525"/>
    </row>
    <row r="526" spans="5:8" ht="14.25" customHeight="1" x14ac:dyDescent="0.25">
      <c r="E526" s="2"/>
      <c r="H526"/>
    </row>
    <row r="527" spans="5:8" ht="14.25" customHeight="1" x14ac:dyDescent="0.25">
      <c r="E527" s="2"/>
      <c r="H527"/>
    </row>
    <row r="528" spans="5:8" ht="14.25" customHeight="1" x14ac:dyDescent="0.25">
      <c r="E528" s="2"/>
      <c r="H528"/>
    </row>
    <row r="529" spans="5:8" ht="14.25" customHeight="1" x14ac:dyDescent="0.25">
      <c r="E529" s="2"/>
      <c r="H529"/>
    </row>
    <row r="530" spans="5:8" ht="14.25" customHeight="1" x14ac:dyDescent="0.25">
      <c r="E530" s="2"/>
      <c r="H530"/>
    </row>
    <row r="531" spans="5:8" ht="14.25" customHeight="1" x14ac:dyDescent="0.25">
      <c r="E531" s="2"/>
      <c r="H531"/>
    </row>
    <row r="532" spans="5:8" ht="14.25" customHeight="1" x14ac:dyDescent="0.25">
      <c r="E532" s="2"/>
      <c r="H532"/>
    </row>
    <row r="533" spans="5:8" ht="14.25" customHeight="1" x14ac:dyDescent="0.25">
      <c r="E533" s="2"/>
      <c r="H533"/>
    </row>
    <row r="534" spans="5:8" ht="14.25" customHeight="1" x14ac:dyDescent="0.25">
      <c r="E534" s="2"/>
      <c r="H534"/>
    </row>
    <row r="535" spans="5:8" ht="14.25" customHeight="1" x14ac:dyDescent="0.25">
      <c r="E535" s="2"/>
      <c r="H535"/>
    </row>
    <row r="536" spans="5:8" ht="14.25" customHeight="1" x14ac:dyDescent="0.25">
      <c r="E536" s="2"/>
      <c r="H536"/>
    </row>
    <row r="537" spans="5:8" ht="14.25" customHeight="1" x14ac:dyDescent="0.25">
      <c r="E537" s="2"/>
      <c r="H537"/>
    </row>
    <row r="538" spans="5:8" ht="14.25" customHeight="1" x14ac:dyDescent="0.25">
      <c r="E538" s="2"/>
      <c r="H538"/>
    </row>
    <row r="539" spans="5:8" ht="14.25" customHeight="1" x14ac:dyDescent="0.25">
      <c r="E539" s="2"/>
      <c r="H539"/>
    </row>
    <row r="540" spans="5:8" ht="14.25" customHeight="1" x14ac:dyDescent="0.25">
      <c r="E540" s="2"/>
      <c r="H540"/>
    </row>
    <row r="541" spans="5:8" ht="14.25" customHeight="1" x14ac:dyDescent="0.25">
      <c r="E541" s="2"/>
      <c r="H541"/>
    </row>
    <row r="542" spans="5:8" ht="14.25" customHeight="1" x14ac:dyDescent="0.25">
      <c r="E542" s="2"/>
      <c r="H542"/>
    </row>
    <row r="543" spans="5:8" ht="14.25" customHeight="1" x14ac:dyDescent="0.25">
      <c r="E543" s="2"/>
      <c r="H543"/>
    </row>
    <row r="544" spans="5:8" ht="14.25" customHeight="1" x14ac:dyDescent="0.25">
      <c r="E544" s="2"/>
      <c r="H544"/>
    </row>
    <row r="545" spans="5:8" ht="14.25" customHeight="1" x14ac:dyDescent="0.25">
      <c r="E545" s="2"/>
      <c r="H545"/>
    </row>
    <row r="546" spans="5:8" ht="14.25" customHeight="1" x14ac:dyDescent="0.25">
      <c r="E546" s="2"/>
      <c r="H546"/>
    </row>
    <row r="547" spans="5:8" ht="14.25" customHeight="1" x14ac:dyDescent="0.25">
      <c r="E547" s="2"/>
      <c r="H547"/>
    </row>
    <row r="548" spans="5:8" ht="14.25" customHeight="1" x14ac:dyDescent="0.25">
      <c r="E548" s="2"/>
      <c r="H548"/>
    </row>
    <row r="549" spans="5:8" ht="14.25" customHeight="1" x14ac:dyDescent="0.25">
      <c r="E549" s="2"/>
      <c r="H549"/>
    </row>
    <row r="550" spans="5:8" ht="14.25" customHeight="1" x14ac:dyDescent="0.25">
      <c r="E550" s="2"/>
      <c r="H550"/>
    </row>
    <row r="551" spans="5:8" ht="14.25" customHeight="1" x14ac:dyDescent="0.25">
      <c r="E551" s="2"/>
      <c r="H551"/>
    </row>
    <row r="552" spans="5:8" ht="14.25" customHeight="1" x14ac:dyDescent="0.25">
      <c r="E552" s="2"/>
      <c r="H552"/>
    </row>
    <row r="553" spans="5:8" ht="14.25" customHeight="1" x14ac:dyDescent="0.25">
      <c r="E553" s="2"/>
      <c r="H553"/>
    </row>
    <row r="554" spans="5:8" ht="14.25" customHeight="1" x14ac:dyDescent="0.25">
      <c r="E554" s="2"/>
      <c r="H554"/>
    </row>
    <row r="555" spans="5:8" ht="14.25" customHeight="1" x14ac:dyDescent="0.25">
      <c r="E555" s="2"/>
      <c r="H555"/>
    </row>
    <row r="556" spans="5:8" ht="14.25" customHeight="1" x14ac:dyDescent="0.25">
      <c r="E556" s="2"/>
      <c r="H556"/>
    </row>
    <row r="557" spans="5:8" ht="14.25" customHeight="1" x14ac:dyDescent="0.25">
      <c r="E557" s="2"/>
      <c r="H557"/>
    </row>
    <row r="558" spans="5:8" ht="14.25" customHeight="1" x14ac:dyDescent="0.25">
      <c r="E558" s="2"/>
      <c r="H558"/>
    </row>
    <row r="559" spans="5:8" ht="14.25" customHeight="1" x14ac:dyDescent="0.25">
      <c r="E559" s="2"/>
      <c r="H559"/>
    </row>
    <row r="560" spans="5:8" ht="14.25" customHeight="1" x14ac:dyDescent="0.25">
      <c r="E560" s="2"/>
      <c r="H560"/>
    </row>
    <row r="561" spans="5:8" ht="14.25" customHeight="1" x14ac:dyDescent="0.25">
      <c r="E561" s="2"/>
      <c r="H561"/>
    </row>
    <row r="562" spans="5:8" ht="14.25" customHeight="1" x14ac:dyDescent="0.25">
      <c r="E562" s="2"/>
      <c r="H562"/>
    </row>
    <row r="563" spans="5:8" ht="14.25" customHeight="1" x14ac:dyDescent="0.25">
      <c r="E563" s="2"/>
      <c r="H563"/>
    </row>
    <row r="564" spans="5:8" ht="14.25" customHeight="1" x14ac:dyDescent="0.25">
      <c r="E564" s="2"/>
      <c r="H564"/>
    </row>
    <row r="565" spans="5:8" ht="14.25" customHeight="1" x14ac:dyDescent="0.25">
      <c r="E565" s="2"/>
      <c r="H565"/>
    </row>
    <row r="566" spans="5:8" ht="14.25" customHeight="1" x14ac:dyDescent="0.25">
      <c r="E566" s="2"/>
      <c r="H566"/>
    </row>
    <row r="567" spans="5:8" ht="14.25" customHeight="1" x14ac:dyDescent="0.25">
      <c r="E567" s="2"/>
      <c r="H567"/>
    </row>
    <row r="568" spans="5:8" ht="14.25" customHeight="1" x14ac:dyDescent="0.25">
      <c r="E568" s="2"/>
      <c r="H568"/>
    </row>
    <row r="569" spans="5:8" ht="14.25" customHeight="1" x14ac:dyDescent="0.25">
      <c r="E569" s="2"/>
      <c r="H569"/>
    </row>
    <row r="570" spans="5:8" ht="14.25" customHeight="1" x14ac:dyDescent="0.25">
      <c r="E570" s="2"/>
      <c r="H570"/>
    </row>
    <row r="571" spans="5:8" ht="14.25" customHeight="1" x14ac:dyDescent="0.25">
      <c r="E571" s="2"/>
      <c r="H571"/>
    </row>
    <row r="572" spans="5:8" ht="14.25" customHeight="1" x14ac:dyDescent="0.25">
      <c r="E572" s="2"/>
      <c r="H572"/>
    </row>
    <row r="573" spans="5:8" ht="14.25" customHeight="1" x14ac:dyDescent="0.25">
      <c r="E573" s="2"/>
      <c r="H573"/>
    </row>
    <row r="574" spans="5:8" ht="14.25" customHeight="1" x14ac:dyDescent="0.25">
      <c r="E574" s="2"/>
      <c r="H574"/>
    </row>
    <row r="575" spans="5:8" ht="14.25" customHeight="1" x14ac:dyDescent="0.25">
      <c r="E575" s="2"/>
      <c r="H575"/>
    </row>
    <row r="576" spans="5:8" ht="14.25" customHeight="1" x14ac:dyDescent="0.25">
      <c r="E576" s="2"/>
      <c r="H576"/>
    </row>
    <row r="577" spans="5:8" ht="14.25" customHeight="1" x14ac:dyDescent="0.25">
      <c r="E577" s="2"/>
      <c r="H577"/>
    </row>
    <row r="578" spans="5:8" ht="14.25" customHeight="1" x14ac:dyDescent="0.25">
      <c r="E578" s="2"/>
      <c r="H578"/>
    </row>
    <row r="579" spans="5:8" ht="14.25" customHeight="1" x14ac:dyDescent="0.25">
      <c r="E579" s="2"/>
      <c r="H579"/>
    </row>
    <row r="580" spans="5:8" ht="14.25" customHeight="1" x14ac:dyDescent="0.25">
      <c r="E580" s="2"/>
      <c r="H580"/>
    </row>
    <row r="581" spans="5:8" ht="14.25" customHeight="1" x14ac:dyDescent="0.25">
      <c r="E581" s="2"/>
      <c r="H581"/>
    </row>
    <row r="582" spans="5:8" ht="14.25" customHeight="1" x14ac:dyDescent="0.25">
      <c r="E582" s="2"/>
      <c r="H582"/>
    </row>
    <row r="583" spans="5:8" ht="14.25" customHeight="1" x14ac:dyDescent="0.25">
      <c r="E583" s="2"/>
      <c r="H583"/>
    </row>
    <row r="584" spans="5:8" ht="14.25" customHeight="1" x14ac:dyDescent="0.25">
      <c r="E584" s="2"/>
      <c r="H584"/>
    </row>
    <row r="585" spans="5:8" ht="14.25" customHeight="1" x14ac:dyDescent="0.25">
      <c r="E585" s="2"/>
      <c r="H585"/>
    </row>
    <row r="586" spans="5:8" ht="14.25" customHeight="1" x14ac:dyDescent="0.25">
      <c r="E586" s="2"/>
      <c r="H586"/>
    </row>
    <row r="587" spans="5:8" ht="14.25" customHeight="1" x14ac:dyDescent="0.25">
      <c r="E587" s="2"/>
      <c r="H587"/>
    </row>
    <row r="588" spans="5:8" ht="14.25" customHeight="1" x14ac:dyDescent="0.25">
      <c r="E588" s="2"/>
      <c r="H588"/>
    </row>
    <row r="589" spans="5:8" ht="14.25" customHeight="1" x14ac:dyDescent="0.25">
      <c r="E589" s="2"/>
      <c r="H589"/>
    </row>
    <row r="590" spans="5:8" ht="14.25" customHeight="1" x14ac:dyDescent="0.25">
      <c r="E590" s="2"/>
      <c r="H590"/>
    </row>
    <row r="591" spans="5:8" ht="14.25" customHeight="1" x14ac:dyDescent="0.25">
      <c r="E591" s="2"/>
      <c r="H591"/>
    </row>
    <row r="592" spans="5:8" ht="14.25" customHeight="1" x14ac:dyDescent="0.25">
      <c r="E592" s="2"/>
      <c r="H592"/>
    </row>
    <row r="593" spans="5:8" ht="14.25" customHeight="1" x14ac:dyDescent="0.25">
      <c r="E593" s="2"/>
      <c r="H593"/>
    </row>
    <row r="594" spans="5:8" ht="14.25" customHeight="1" x14ac:dyDescent="0.25">
      <c r="E594" s="2"/>
      <c r="H594"/>
    </row>
    <row r="595" spans="5:8" ht="14.25" customHeight="1" x14ac:dyDescent="0.25">
      <c r="E595" s="2"/>
      <c r="H595"/>
    </row>
    <row r="596" spans="5:8" ht="14.25" customHeight="1" x14ac:dyDescent="0.25">
      <c r="E596" s="2"/>
      <c r="H596"/>
    </row>
    <row r="597" spans="5:8" ht="14.25" customHeight="1" x14ac:dyDescent="0.25">
      <c r="E597" s="2"/>
      <c r="H597"/>
    </row>
    <row r="598" spans="5:8" ht="14.25" customHeight="1" x14ac:dyDescent="0.25">
      <c r="E598" s="2"/>
      <c r="H598"/>
    </row>
    <row r="599" spans="5:8" ht="14.25" customHeight="1" x14ac:dyDescent="0.25">
      <c r="E599" s="2"/>
      <c r="H599"/>
    </row>
    <row r="600" spans="5:8" ht="14.25" customHeight="1" x14ac:dyDescent="0.25">
      <c r="E600" s="2"/>
      <c r="H600"/>
    </row>
    <row r="601" spans="5:8" ht="14.25" customHeight="1" x14ac:dyDescent="0.25">
      <c r="E601" s="2"/>
      <c r="H601"/>
    </row>
    <row r="602" spans="5:8" ht="14.25" customHeight="1" x14ac:dyDescent="0.25">
      <c r="E602" s="2"/>
      <c r="H602"/>
    </row>
    <row r="603" spans="5:8" ht="14.25" customHeight="1" x14ac:dyDescent="0.25">
      <c r="E603" s="2"/>
      <c r="H603"/>
    </row>
    <row r="604" spans="5:8" ht="14.25" customHeight="1" x14ac:dyDescent="0.25">
      <c r="E604" s="2"/>
      <c r="H604"/>
    </row>
    <row r="605" spans="5:8" ht="14.25" customHeight="1" x14ac:dyDescent="0.25">
      <c r="E605" s="2"/>
      <c r="H605"/>
    </row>
    <row r="606" spans="5:8" ht="14.25" customHeight="1" x14ac:dyDescent="0.25">
      <c r="E606" s="2"/>
      <c r="H606"/>
    </row>
    <row r="607" spans="5:8" ht="14.25" customHeight="1" x14ac:dyDescent="0.25">
      <c r="E607" s="2"/>
      <c r="H607"/>
    </row>
    <row r="608" spans="5:8" ht="14.25" customHeight="1" x14ac:dyDescent="0.25">
      <c r="E608" s="2"/>
      <c r="H608"/>
    </row>
    <row r="609" spans="5:8" ht="14.25" customHeight="1" x14ac:dyDescent="0.25">
      <c r="E609" s="2"/>
      <c r="H609"/>
    </row>
    <row r="610" spans="5:8" ht="14.25" customHeight="1" x14ac:dyDescent="0.25">
      <c r="E610" s="2"/>
      <c r="H610"/>
    </row>
    <row r="611" spans="5:8" ht="14.25" customHeight="1" x14ac:dyDescent="0.25">
      <c r="E611" s="2"/>
      <c r="H611"/>
    </row>
    <row r="612" spans="5:8" ht="14.25" customHeight="1" x14ac:dyDescent="0.25">
      <c r="E612" s="2"/>
      <c r="H612"/>
    </row>
    <row r="613" spans="5:8" ht="14.25" customHeight="1" x14ac:dyDescent="0.25">
      <c r="E613" s="2"/>
      <c r="H613"/>
    </row>
    <row r="614" spans="5:8" ht="14.25" customHeight="1" x14ac:dyDescent="0.25">
      <c r="E614" s="2"/>
      <c r="H614"/>
    </row>
    <row r="615" spans="5:8" ht="14.25" customHeight="1" x14ac:dyDescent="0.25">
      <c r="E615" s="2"/>
      <c r="H615"/>
    </row>
    <row r="616" spans="5:8" ht="14.25" customHeight="1" x14ac:dyDescent="0.25">
      <c r="E616" s="2"/>
      <c r="H616"/>
    </row>
    <row r="617" spans="5:8" ht="14.25" customHeight="1" x14ac:dyDescent="0.25">
      <c r="E617" s="2"/>
      <c r="H617"/>
    </row>
    <row r="618" spans="5:8" ht="14.25" customHeight="1" x14ac:dyDescent="0.25">
      <c r="E618" s="2"/>
      <c r="H618"/>
    </row>
    <row r="619" spans="5:8" ht="14.25" customHeight="1" x14ac:dyDescent="0.25">
      <c r="E619" s="2"/>
      <c r="H619"/>
    </row>
    <row r="620" spans="5:8" ht="14.25" customHeight="1" x14ac:dyDescent="0.25">
      <c r="E620" s="2"/>
      <c r="H620"/>
    </row>
    <row r="621" spans="5:8" ht="14.25" customHeight="1" x14ac:dyDescent="0.25">
      <c r="E621" s="2"/>
      <c r="H621"/>
    </row>
    <row r="622" spans="5:8" ht="14.25" customHeight="1" x14ac:dyDescent="0.25">
      <c r="E622" s="2"/>
      <c r="H622"/>
    </row>
    <row r="623" spans="5:8" ht="14.25" customHeight="1" x14ac:dyDescent="0.25">
      <c r="E623" s="2"/>
      <c r="H623"/>
    </row>
    <row r="624" spans="5:8" ht="14.25" customHeight="1" x14ac:dyDescent="0.25">
      <c r="E624" s="2"/>
      <c r="H624"/>
    </row>
    <row r="625" spans="5:8" ht="14.25" customHeight="1" x14ac:dyDescent="0.25">
      <c r="E625" s="2"/>
      <c r="H625"/>
    </row>
    <row r="626" spans="5:8" ht="14.25" customHeight="1" x14ac:dyDescent="0.25">
      <c r="E626" s="2"/>
      <c r="H626"/>
    </row>
    <row r="627" spans="5:8" ht="14.25" customHeight="1" x14ac:dyDescent="0.25">
      <c r="E627" s="2"/>
      <c r="H627"/>
    </row>
    <row r="628" spans="5:8" ht="14.25" customHeight="1" x14ac:dyDescent="0.25">
      <c r="E628" s="2"/>
      <c r="H628"/>
    </row>
    <row r="629" spans="5:8" ht="14.25" customHeight="1" x14ac:dyDescent="0.25">
      <c r="E629" s="2"/>
      <c r="H629"/>
    </row>
    <row r="630" spans="5:8" ht="14.25" customHeight="1" x14ac:dyDescent="0.25">
      <c r="E630" s="2"/>
      <c r="H630"/>
    </row>
    <row r="631" spans="5:8" ht="14.25" customHeight="1" x14ac:dyDescent="0.25">
      <c r="E631" s="2"/>
      <c r="H631"/>
    </row>
    <row r="632" spans="5:8" ht="14.25" customHeight="1" x14ac:dyDescent="0.25">
      <c r="E632" s="2"/>
      <c r="H632"/>
    </row>
    <row r="633" spans="5:8" ht="14.25" customHeight="1" x14ac:dyDescent="0.25">
      <c r="E633" s="2"/>
      <c r="H633"/>
    </row>
    <row r="634" spans="5:8" ht="14.25" customHeight="1" x14ac:dyDescent="0.25">
      <c r="E634" s="2"/>
      <c r="H634"/>
    </row>
    <row r="635" spans="5:8" ht="14.25" customHeight="1" x14ac:dyDescent="0.25">
      <c r="E635" s="2"/>
      <c r="H635"/>
    </row>
    <row r="636" spans="5:8" ht="14.25" customHeight="1" x14ac:dyDescent="0.25">
      <c r="E636" s="2"/>
      <c r="H636"/>
    </row>
    <row r="637" spans="5:8" ht="14.25" customHeight="1" x14ac:dyDescent="0.25">
      <c r="E637" s="2"/>
      <c r="H637"/>
    </row>
    <row r="638" spans="5:8" ht="14.25" customHeight="1" x14ac:dyDescent="0.25">
      <c r="E638" s="2"/>
      <c r="H638"/>
    </row>
    <row r="639" spans="5:8" ht="14.25" customHeight="1" x14ac:dyDescent="0.25">
      <c r="E639" s="2"/>
      <c r="H639"/>
    </row>
    <row r="640" spans="5:8" ht="14.25" customHeight="1" x14ac:dyDescent="0.25">
      <c r="E640" s="2"/>
      <c r="H640"/>
    </row>
    <row r="641" spans="5:8" ht="14.25" customHeight="1" x14ac:dyDescent="0.25">
      <c r="E641" s="2"/>
      <c r="H641"/>
    </row>
    <row r="642" spans="5:8" ht="14.25" customHeight="1" x14ac:dyDescent="0.25">
      <c r="E642" s="2"/>
      <c r="H642"/>
    </row>
    <row r="643" spans="5:8" ht="14.25" customHeight="1" x14ac:dyDescent="0.25">
      <c r="E643" s="2"/>
      <c r="H643"/>
    </row>
    <row r="644" spans="5:8" ht="14.25" customHeight="1" x14ac:dyDescent="0.25">
      <c r="E644" s="2"/>
      <c r="H644"/>
    </row>
    <row r="645" spans="5:8" ht="14.25" customHeight="1" x14ac:dyDescent="0.25">
      <c r="E645" s="2"/>
      <c r="H645"/>
    </row>
    <row r="646" spans="5:8" ht="14.25" customHeight="1" x14ac:dyDescent="0.25">
      <c r="E646" s="2"/>
      <c r="H646"/>
    </row>
    <row r="647" spans="5:8" ht="14.25" customHeight="1" x14ac:dyDescent="0.25">
      <c r="E647" s="2"/>
      <c r="H647"/>
    </row>
    <row r="648" spans="5:8" ht="14.25" customHeight="1" x14ac:dyDescent="0.25">
      <c r="E648" s="2"/>
      <c r="H648"/>
    </row>
    <row r="649" spans="5:8" ht="14.25" customHeight="1" x14ac:dyDescent="0.25">
      <c r="E649" s="2"/>
      <c r="H649"/>
    </row>
    <row r="650" spans="5:8" ht="14.25" customHeight="1" x14ac:dyDescent="0.25">
      <c r="E650" s="2"/>
      <c r="H650"/>
    </row>
    <row r="651" spans="5:8" ht="14.25" customHeight="1" x14ac:dyDescent="0.25">
      <c r="E651" s="2"/>
      <c r="H651"/>
    </row>
    <row r="652" spans="5:8" ht="14.25" customHeight="1" x14ac:dyDescent="0.25">
      <c r="E652" s="2"/>
      <c r="H652"/>
    </row>
    <row r="653" spans="5:8" ht="14.25" customHeight="1" x14ac:dyDescent="0.25">
      <c r="E653" s="2"/>
      <c r="H653"/>
    </row>
    <row r="654" spans="5:8" ht="14.25" customHeight="1" x14ac:dyDescent="0.25">
      <c r="E654" s="2"/>
      <c r="H654"/>
    </row>
    <row r="655" spans="5:8" ht="14.25" customHeight="1" x14ac:dyDescent="0.25">
      <c r="E655" s="2"/>
      <c r="H655"/>
    </row>
    <row r="656" spans="5:8" ht="14.25" customHeight="1" x14ac:dyDescent="0.25">
      <c r="E656" s="2"/>
      <c r="H656"/>
    </row>
    <row r="657" spans="5:8" ht="14.25" customHeight="1" x14ac:dyDescent="0.25">
      <c r="E657" s="2"/>
      <c r="H657"/>
    </row>
    <row r="658" spans="5:8" ht="14.25" customHeight="1" x14ac:dyDescent="0.25">
      <c r="E658" s="2"/>
      <c r="H658"/>
    </row>
    <row r="659" spans="5:8" ht="14.25" customHeight="1" x14ac:dyDescent="0.25">
      <c r="E659" s="2"/>
      <c r="H659"/>
    </row>
    <row r="660" spans="5:8" ht="14.25" customHeight="1" x14ac:dyDescent="0.25">
      <c r="E660" s="2"/>
      <c r="H660"/>
    </row>
    <row r="661" spans="5:8" ht="14.25" customHeight="1" x14ac:dyDescent="0.25">
      <c r="E661" s="2"/>
      <c r="H661"/>
    </row>
    <row r="662" spans="5:8" ht="14.25" customHeight="1" x14ac:dyDescent="0.25">
      <c r="E662" s="2"/>
      <c r="H662"/>
    </row>
    <row r="663" spans="5:8" ht="14.25" customHeight="1" x14ac:dyDescent="0.25">
      <c r="E663" s="2"/>
      <c r="H663"/>
    </row>
    <row r="664" spans="5:8" ht="14.25" customHeight="1" x14ac:dyDescent="0.25">
      <c r="E664" s="2"/>
      <c r="H664"/>
    </row>
    <row r="665" spans="5:8" ht="14.25" customHeight="1" x14ac:dyDescent="0.25">
      <c r="E665" s="2"/>
      <c r="H665"/>
    </row>
    <row r="666" spans="5:8" ht="14.25" customHeight="1" x14ac:dyDescent="0.25">
      <c r="E666" s="2"/>
      <c r="H666"/>
    </row>
    <row r="667" spans="5:8" ht="14.25" customHeight="1" x14ac:dyDescent="0.25">
      <c r="E667" s="2"/>
      <c r="H667"/>
    </row>
    <row r="668" spans="5:8" ht="14.25" customHeight="1" x14ac:dyDescent="0.25">
      <c r="E668" s="2"/>
      <c r="H668"/>
    </row>
    <row r="669" spans="5:8" ht="14.25" customHeight="1" x14ac:dyDescent="0.25">
      <c r="E669" s="2"/>
      <c r="H669"/>
    </row>
    <row r="670" spans="5:8" ht="14.25" customHeight="1" x14ac:dyDescent="0.25">
      <c r="E670" s="2"/>
      <c r="H670"/>
    </row>
    <row r="671" spans="5:8" ht="14.25" customHeight="1" x14ac:dyDescent="0.25">
      <c r="E671" s="2"/>
      <c r="H671"/>
    </row>
    <row r="672" spans="5:8" ht="14.25" customHeight="1" x14ac:dyDescent="0.25">
      <c r="E672" s="2"/>
      <c r="H672"/>
    </row>
    <row r="673" spans="5:8" ht="14.25" customHeight="1" x14ac:dyDescent="0.25">
      <c r="E673" s="2"/>
      <c r="H673"/>
    </row>
    <row r="674" spans="5:8" ht="14.25" customHeight="1" x14ac:dyDescent="0.25">
      <c r="E674" s="2"/>
      <c r="H674"/>
    </row>
    <row r="675" spans="5:8" ht="14.25" customHeight="1" x14ac:dyDescent="0.25">
      <c r="E675" s="2"/>
      <c r="H675"/>
    </row>
    <row r="676" spans="5:8" ht="14.25" customHeight="1" x14ac:dyDescent="0.25">
      <c r="E676" s="2"/>
      <c r="H676"/>
    </row>
    <row r="677" spans="5:8" ht="14.25" customHeight="1" x14ac:dyDescent="0.25">
      <c r="E677" s="2"/>
      <c r="H677"/>
    </row>
    <row r="678" spans="5:8" ht="14.25" customHeight="1" x14ac:dyDescent="0.25">
      <c r="E678" s="2"/>
      <c r="H678"/>
    </row>
    <row r="679" spans="5:8" ht="14.25" customHeight="1" x14ac:dyDescent="0.25">
      <c r="E679" s="2"/>
      <c r="H679"/>
    </row>
    <row r="680" spans="5:8" ht="14.25" customHeight="1" x14ac:dyDescent="0.25">
      <c r="E680" s="2"/>
      <c r="H680"/>
    </row>
    <row r="681" spans="5:8" ht="14.25" customHeight="1" x14ac:dyDescent="0.25">
      <c r="E681" s="2"/>
      <c r="H681"/>
    </row>
    <row r="682" spans="5:8" ht="14.25" customHeight="1" x14ac:dyDescent="0.25">
      <c r="E682" s="2"/>
      <c r="H682"/>
    </row>
    <row r="683" spans="5:8" ht="14.25" customHeight="1" x14ac:dyDescent="0.25">
      <c r="E683" s="2"/>
      <c r="H683"/>
    </row>
    <row r="684" spans="5:8" ht="14.25" customHeight="1" x14ac:dyDescent="0.25">
      <c r="E684" s="2"/>
      <c r="H684"/>
    </row>
    <row r="685" spans="5:8" ht="14.25" customHeight="1" x14ac:dyDescent="0.25">
      <c r="E685" s="2"/>
      <c r="H685"/>
    </row>
    <row r="686" spans="5:8" ht="14.25" customHeight="1" x14ac:dyDescent="0.25">
      <c r="E686" s="2"/>
      <c r="H686"/>
    </row>
    <row r="687" spans="5:8" ht="14.25" customHeight="1" x14ac:dyDescent="0.25">
      <c r="E687" s="2"/>
      <c r="H687"/>
    </row>
    <row r="688" spans="5:8" ht="14.25" customHeight="1" x14ac:dyDescent="0.25">
      <c r="E688" s="2"/>
      <c r="H688"/>
    </row>
    <row r="689" spans="5:8" ht="14.25" customHeight="1" x14ac:dyDescent="0.25">
      <c r="E689" s="2"/>
      <c r="H689"/>
    </row>
    <row r="690" spans="5:8" ht="14.25" customHeight="1" x14ac:dyDescent="0.25">
      <c r="E690" s="2"/>
      <c r="H690"/>
    </row>
    <row r="691" spans="5:8" ht="14.25" customHeight="1" x14ac:dyDescent="0.25">
      <c r="E691" s="2"/>
      <c r="H691"/>
    </row>
    <row r="692" spans="5:8" ht="14.25" customHeight="1" x14ac:dyDescent="0.25">
      <c r="E692" s="2"/>
      <c r="H692"/>
    </row>
    <row r="693" spans="5:8" ht="14.25" customHeight="1" x14ac:dyDescent="0.25">
      <c r="E693" s="2"/>
      <c r="H693"/>
    </row>
    <row r="694" spans="5:8" ht="14.25" customHeight="1" x14ac:dyDescent="0.25">
      <c r="E694" s="2"/>
      <c r="H694"/>
    </row>
    <row r="695" spans="5:8" ht="14.25" customHeight="1" x14ac:dyDescent="0.25">
      <c r="E695" s="2"/>
      <c r="H695"/>
    </row>
    <row r="696" spans="5:8" ht="14.25" customHeight="1" x14ac:dyDescent="0.25">
      <c r="E696" s="2"/>
      <c r="H696"/>
    </row>
    <row r="697" spans="5:8" ht="14.25" customHeight="1" x14ac:dyDescent="0.25">
      <c r="E697" s="2"/>
      <c r="H697"/>
    </row>
    <row r="698" spans="5:8" ht="14.25" customHeight="1" x14ac:dyDescent="0.25">
      <c r="E698" s="2"/>
      <c r="H698"/>
    </row>
    <row r="699" spans="5:8" ht="14.25" customHeight="1" x14ac:dyDescent="0.25">
      <c r="E699" s="2"/>
      <c r="H699"/>
    </row>
    <row r="700" spans="5:8" ht="14.25" customHeight="1" x14ac:dyDescent="0.25">
      <c r="E700" s="2"/>
      <c r="H700"/>
    </row>
    <row r="701" spans="5:8" ht="14.25" customHeight="1" x14ac:dyDescent="0.25">
      <c r="E701" s="2"/>
      <c r="H701"/>
    </row>
    <row r="702" spans="5:8" ht="14.25" customHeight="1" x14ac:dyDescent="0.25">
      <c r="E702" s="2"/>
      <c r="H702"/>
    </row>
    <row r="703" spans="5:8" ht="14.25" customHeight="1" x14ac:dyDescent="0.25">
      <c r="E703" s="2"/>
      <c r="H703"/>
    </row>
    <row r="704" spans="5:8" ht="14.25" customHeight="1" x14ac:dyDescent="0.25">
      <c r="E704" s="2"/>
      <c r="H704"/>
    </row>
    <row r="705" spans="5:8" ht="14.25" customHeight="1" x14ac:dyDescent="0.25">
      <c r="E705" s="2"/>
      <c r="H705"/>
    </row>
    <row r="706" spans="5:8" ht="14.25" customHeight="1" x14ac:dyDescent="0.25">
      <c r="E706" s="2"/>
      <c r="H706"/>
    </row>
    <row r="707" spans="5:8" ht="14.25" customHeight="1" x14ac:dyDescent="0.25">
      <c r="E707" s="2"/>
      <c r="H707"/>
    </row>
    <row r="708" spans="5:8" ht="14.25" customHeight="1" x14ac:dyDescent="0.25">
      <c r="E708" s="2"/>
      <c r="H708"/>
    </row>
    <row r="709" spans="5:8" ht="14.25" customHeight="1" x14ac:dyDescent="0.25">
      <c r="E709" s="2"/>
      <c r="H709"/>
    </row>
    <row r="710" spans="5:8" ht="14.25" customHeight="1" x14ac:dyDescent="0.25">
      <c r="E710" s="2"/>
      <c r="H710"/>
    </row>
    <row r="711" spans="5:8" ht="14.25" customHeight="1" x14ac:dyDescent="0.25">
      <c r="E711" s="2"/>
      <c r="H711"/>
    </row>
    <row r="712" spans="5:8" ht="14.25" customHeight="1" x14ac:dyDescent="0.25">
      <c r="E712" s="2"/>
      <c r="H712"/>
    </row>
    <row r="713" spans="5:8" ht="14.25" customHeight="1" x14ac:dyDescent="0.25">
      <c r="E713" s="2"/>
      <c r="H713"/>
    </row>
    <row r="714" spans="5:8" ht="14.25" customHeight="1" x14ac:dyDescent="0.25">
      <c r="E714" s="2"/>
      <c r="H714"/>
    </row>
    <row r="715" spans="5:8" ht="14.25" customHeight="1" x14ac:dyDescent="0.25">
      <c r="E715" s="2"/>
      <c r="H715"/>
    </row>
    <row r="716" spans="5:8" ht="14.25" customHeight="1" x14ac:dyDescent="0.25">
      <c r="E716" s="2"/>
      <c r="H716"/>
    </row>
    <row r="717" spans="5:8" ht="14.25" customHeight="1" x14ac:dyDescent="0.25">
      <c r="E717" s="2"/>
      <c r="H717"/>
    </row>
    <row r="718" spans="5:8" ht="14.25" customHeight="1" x14ac:dyDescent="0.25">
      <c r="E718" s="2"/>
      <c r="H718"/>
    </row>
    <row r="719" spans="5:8" ht="14.25" customHeight="1" x14ac:dyDescent="0.25">
      <c r="E719" s="2"/>
      <c r="H719"/>
    </row>
    <row r="720" spans="5:8" ht="14.25" customHeight="1" x14ac:dyDescent="0.25">
      <c r="E720" s="2"/>
      <c r="H720"/>
    </row>
    <row r="721" spans="5:8" ht="14.25" customHeight="1" x14ac:dyDescent="0.25">
      <c r="E721" s="2"/>
      <c r="H721"/>
    </row>
    <row r="722" spans="5:8" ht="14.25" customHeight="1" x14ac:dyDescent="0.25">
      <c r="E722" s="2"/>
      <c r="H722"/>
    </row>
    <row r="723" spans="5:8" ht="14.25" customHeight="1" x14ac:dyDescent="0.25">
      <c r="E723" s="2"/>
      <c r="H723"/>
    </row>
    <row r="724" spans="5:8" ht="14.25" customHeight="1" x14ac:dyDescent="0.25">
      <c r="E724" s="2"/>
      <c r="H724"/>
    </row>
    <row r="725" spans="5:8" ht="14.25" customHeight="1" x14ac:dyDescent="0.25">
      <c r="E725" s="2"/>
      <c r="H725"/>
    </row>
    <row r="726" spans="5:8" ht="14.25" customHeight="1" x14ac:dyDescent="0.25">
      <c r="E726" s="2"/>
      <c r="H726"/>
    </row>
    <row r="727" spans="5:8" ht="14.25" customHeight="1" x14ac:dyDescent="0.25">
      <c r="E727" s="2"/>
      <c r="H727"/>
    </row>
    <row r="728" spans="5:8" ht="14.25" customHeight="1" x14ac:dyDescent="0.25">
      <c r="E728" s="2"/>
      <c r="H728"/>
    </row>
    <row r="729" spans="5:8" ht="14.25" customHeight="1" x14ac:dyDescent="0.25">
      <c r="E729" s="2"/>
      <c r="H729"/>
    </row>
    <row r="730" spans="5:8" ht="14.25" customHeight="1" x14ac:dyDescent="0.25">
      <c r="E730" s="2"/>
      <c r="H730"/>
    </row>
    <row r="731" spans="5:8" ht="14.25" customHeight="1" x14ac:dyDescent="0.25">
      <c r="E731" s="2"/>
      <c r="H731"/>
    </row>
    <row r="732" spans="5:8" ht="14.25" customHeight="1" x14ac:dyDescent="0.25">
      <c r="E732" s="2"/>
      <c r="H732"/>
    </row>
    <row r="733" spans="5:8" ht="14.25" customHeight="1" x14ac:dyDescent="0.25">
      <c r="E733" s="2"/>
      <c r="H733"/>
    </row>
    <row r="734" spans="5:8" ht="14.25" customHeight="1" x14ac:dyDescent="0.25">
      <c r="E734" s="2"/>
      <c r="H734"/>
    </row>
    <row r="735" spans="5:8" ht="14.25" customHeight="1" x14ac:dyDescent="0.25">
      <c r="E735" s="2"/>
      <c r="H735"/>
    </row>
    <row r="736" spans="5:8" ht="14.25" customHeight="1" x14ac:dyDescent="0.25">
      <c r="E736" s="2"/>
      <c r="H736"/>
    </row>
    <row r="737" spans="5:8" ht="14.25" customHeight="1" x14ac:dyDescent="0.25">
      <c r="E737" s="2"/>
      <c r="H737"/>
    </row>
    <row r="738" spans="5:8" ht="14.25" customHeight="1" x14ac:dyDescent="0.25">
      <c r="E738" s="2"/>
      <c r="H738"/>
    </row>
    <row r="739" spans="5:8" ht="14.25" customHeight="1" x14ac:dyDescent="0.25">
      <c r="E739" s="2"/>
      <c r="H739"/>
    </row>
    <row r="740" spans="5:8" ht="14.25" customHeight="1" x14ac:dyDescent="0.25">
      <c r="E740" s="2"/>
      <c r="H740"/>
    </row>
    <row r="741" spans="5:8" ht="14.25" customHeight="1" x14ac:dyDescent="0.25">
      <c r="E741" s="2"/>
      <c r="H741"/>
    </row>
    <row r="742" spans="5:8" ht="14.25" customHeight="1" x14ac:dyDescent="0.25">
      <c r="E742" s="2"/>
      <c r="H742"/>
    </row>
    <row r="743" spans="5:8" ht="14.25" customHeight="1" x14ac:dyDescent="0.25">
      <c r="E743" s="2"/>
      <c r="H743"/>
    </row>
    <row r="744" spans="5:8" ht="14.25" customHeight="1" x14ac:dyDescent="0.25">
      <c r="E744" s="2"/>
      <c r="H744"/>
    </row>
    <row r="745" spans="5:8" ht="14.25" customHeight="1" x14ac:dyDescent="0.25">
      <c r="E745" s="2"/>
      <c r="H745"/>
    </row>
    <row r="746" spans="5:8" ht="14.25" customHeight="1" x14ac:dyDescent="0.25">
      <c r="E746" s="2"/>
      <c r="H746"/>
    </row>
    <row r="747" spans="5:8" ht="14.25" customHeight="1" x14ac:dyDescent="0.25">
      <c r="E747" s="2"/>
      <c r="H747"/>
    </row>
    <row r="748" spans="5:8" ht="14.25" customHeight="1" x14ac:dyDescent="0.25">
      <c r="E748" s="2"/>
      <c r="H748"/>
    </row>
    <row r="749" spans="5:8" ht="14.25" customHeight="1" x14ac:dyDescent="0.25">
      <c r="E749" s="2"/>
      <c r="H749"/>
    </row>
    <row r="750" spans="5:8" ht="14.25" customHeight="1" x14ac:dyDescent="0.25">
      <c r="E750" s="2"/>
      <c r="H750"/>
    </row>
    <row r="751" spans="5:8" ht="14.25" customHeight="1" x14ac:dyDescent="0.25">
      <c r="E751" s="2"/>
      <c r="H751"/>
    </row>
    <row r="752" spans="5:8" ht="14.25" customHeight="1" x14ac:dyDescent="0.25">
      <c r="E752" s="2"/>
      <c r="H752"/>
    </row>
    <row r="753" spans="5:8" ht="14.25" customHeight="1" x14ac:dyDescent="0.25">
      <c r="E753" s="2"/>
      <c r="H753"/>
    </row>
    <row r="754" spans="5:8" ht="14.25" customHeight="1" x14ac:dyDescent="0.25">
      <c r="E754" s="2"/>
      <c r="H754"/>
    </row>
    <row r="755" spans="5:8" ht="14.25" customHeight="1" x14ac:dyDescent="0.25">
      <c r="E755" s="2"/>
      <c r="H755"/>
    </row>
    <row r="756" spans="5:8" ht="14.25" customHeight="1" x14ac:dyDescent="0.25">
      <c r="E756" s="2"/>
      <c r="H756"/>
    </row>
    <row r="757" spans="5:8" ht="14.25" customHeight="1" x14ac:dyDescent="0.25">
      <c r="E757" s="2"/>
      <c r="H757"/>
    </row>
    <row r="758" spans="5:8" ht="14.25" customHeight="1" x14ac:dyDescent="0.25">
      <c r="E758" s="2"/>
      <c r="H758"/>
    </row>
    <row r="759" spans="5:8" ht="14.25" customHeight="1" x14ac:dyDescent="0.25">
      <c r="E759" s="2"/>
      <c r="H759"/>
    </row>
    <row r="760" spans="5:8" ht="14.25" customHeight="1" x14ac:dyDescent="0.25">
      <c r="E760" s="2"/>
      <c r="H760"/>
    </row>
    <row r="761" spans="5:8" ht="14.25" customHeight="1" x14ac:dyDescent="0.25">
      <c r="E761" s="2"/>
      <c r="H761"/>
    </row>
    <row r="762" spans="5:8" ht="14.25" customHeight="1" x14ac:dyDescent="0.25">
      <c r="E762" s="2"/>
      <c r="H762"/>
    </row>
    <row r="763" spans="5:8" ht="14.25" customHeight="1" x14ac:dyDescent="0.25">
      <c r="E763" s="2"/>
      <c r="H763"/>
    </row>
    <row r="764" spans="5:8" ht="14.25" customHeight="1" x14ac:dyDescent="0.25">
      <c r="E764" s="2"/>
      <c r="H764"/>
    </row>
    <row r="765" spans="5:8" ht="14.25" customHeight="1" x14ac:dyDescent="0.25">
      <c r="E765" s="2"/>
      <c r="H765"/>
    </row>
    <row r="766" spans="5:8" ht="14.25" customHeight="1" x14ac:dyDescent="0.25">
      <c r="E766" s="2"/>
      <c r="H766"/>
    </row>
    <row r="767" spans="5:8" ht="14.25" customHeight="1" x14ac:dyDescent="0.25">
      <c r="E767" s="2"/>
      <c r="H767"/>
    </row>
    <row r="768" spans="5:8" ht="14.25" customHeight="1" x14ac:dyDescent="0.25">
      <c r="E768" s="2"/>
      <c r="H768"/>
    </row>
    <row r="769" spans="5:8" ht="14.25" customHeight="1" x14ac:dyDescent="0.25">
      <c r="E769" s="2"/>
      <c r="H769"/>
    </row>
    <row r="770" spans="5:8" ht="14.25" customHeight="1" x14ac:dyDescent="0.25">
      <c r="E770" s="2"/>
      <c r="H770"/>
    </row>
    <row r="771" spans="5:8" ht="14.25" customHeight="1" x14ac:dyDescent="0.25">
      <c r="E771" s="2"/>
      <c r="H771"/>
    </row>
    <row r="772" spans="5:8" ht="14.25" customHeight="1" x14ac:dyDescent="0.25">
      <c r="E772" s="2"/>
      <c r="H772"/>
    </row>
    <row r="773" spans="5:8" ht="14.25" customHeight="1" x14ac:dyDescent="0.25">
      <c r="E773" s="2"/>
      <c r="H773"/>
    </row>
    <row r="774" spans="5:8" ht="14.25" customHeight="1" x14ac:dyDescent="0.25">
      <c r="E774" s="2"/>
      <c r="H774"/>
    </row>
    <row r="775" spans="5:8" ht="14.25" customHeight="1" x14ac:dyDescent="0.25">
      <c r="E775" s="2"/>
      <c r="H775"/>
    </row>
    <row r="776" spans="5:8" ht="14.25" customHeight="1" x14ac:dyDescent="0.25">
      <c r="E776" s="2"/>
      <c r="H776"/>
    </row>
    <row r="777" spans="5:8" ht="14.25" customHeight="1" x14ac:dyDescent="0.25">
      <c r="E777" s="2"/>
      <c r="H777"/>
    </row>
    <row r="778" spans="5:8" ht="14.25" customHeight="1" x14ac:dyDescent="0.25">
      <c r="E778" s="2"/>
      <c r="H778"/>
    </row>
    <row r="779" spans="5:8" ht="14.25" customHeight="1" x14ac:dyDescent="0.25">
      <c r="E779" s="2"/>
      <c r="H779"/>
    </row>
    <row r="780" spans="5:8" ht="14.25" customHeight="1" x14ac:dyDescent="0.25">
      <c r="E780" s="2"/>
      <c r="H780"/>
    </row>
    <row r="781" spans="5:8" ht="14.25" customHeight="1" x14ac:dyDescent="0.25">
      <c r="E781" s="2"/>
      <c r="H781"/>
    </row>
    <row r="782" spans="5:8" ht="14.25" customHeight="1" x14ac:dyDescent="0.25">
      <c r="E782" s="2"/>
      <c r="H782"/>
    </row>
    <row r="783" spans="5:8" ht="14.25" customHeight="1" x14ac:dyDescent="0.25">
      <c r="E783" s="2"/>
      <c r="H783"/>
    </row>
    <row r="784" spans="5:8" ht="14.25" customHeight="1" x14ac:dyDescent="0.25">
      <c r="E784" s="2"/>
      <c r="H784"/>
    </row>
    <row r="785" spans="5:8" ht="14.25" customHeight="1" x14ac:dyDescent="0.25">
      <c r="E785" s="2"/>
      <c r="H785"/>
    </row>
    <row r="786" spans="5:8" ht="14.25" customHeight="1" x14ac:dyDescent="0.25">
      <c r="E786" s="2"/>
      <c r="H786"/>
    </row>
    <row r="787" spans="5:8" ht="14.25" customHeight="1" x14ac:dyDescent="0.25">
      <c r="E787" s="2"/>
      <c r="H787"/>
    </row>
    <row r="788" spans="5:8" ht="14.25" customHeight="1" x14ac:dyDescent="0.25">
      <c r="E788" s="2"/>
      <c r="H788"/>
    </row>
    <row r="789" spans="5:8" ht="14.25" customHeight="1" x14ac:dyDescent="0.25">
      <c r="E789" s="2"/>
      <c r="H789"/>
    </row>
    <row r="790" spans="5:8" ht="14.25" customHeight="1" x14ac:dyDescent="0.25">
      <c r="E790" s="2"/>
      <c r="H790"/>
    </row>
    <row r="791" spans="5:8" ht="14.25" customHeight="1" x14ac:dyDescent="0.25">
      <c r="E791" s="2"/>
      <c r="H791"/>
    </row>
    <row r="792" spans="5:8" ht="14.25" customHeight="1" x14ac:dyDescent="0.25">
      <c r="E792" s="2"/>
      <c r="H792"/>
    </row>
    <row r="793" spans="5:8" ht="14.25" customHeight="1" x14ac:dyDescent="0.25">
      <c r="E793" s="2"/>
      <c r="H793"/>
    </row>
    <row r="794" spans="5:8" ht="14.25" customHeight="1" x14ac:dyDescent="0.25">
      <c r="E794" s="2"/>
      <c r="H794"/>
    </row>
    <row r="795" spans="5:8" ht="14.25" customHeight="1" x14ac:dyDescent="0.25">
      <c r="E795" s="2"/>
      <c r="H795"/>
    </row>
    <row r="796" spans="5:8" ht="14.25" customHeight="1" x14ac:dyDescent="0.25">
      <c r="E796" s="2"/>
      <c r="H796"/>
    </row>
    <row r="797" spans="5:8" ht="14.25" customHeight="1" x14ac:dyDescent="0.25">
      <c r="E797" s="2"/>
      <c r="H797"/>
    </row>
    <row r="798" spans="5:8" ht="14.25" customHeight="1" x14ac:dyDescent="0.25">
      <c r="E798" s="2"/>
      <c r="H798"/>
    </row>
    <row r="799" spans="5:8" ht="14.25" customHeight="1" x14ac:dyDescent="0.25">
      <c r="E799" s="2"/>
      <c r="H799"/>
    </row>
    <row r="800" spans="5:8" ht="14.25" customHeight="1" x14ac:dyDescent="0.25">
      <c r="E800" s="2"/>
      <c r="H800"/>
    </row>
    <row r="801" spans="5:8" ht="14.25" customHeight="1" x14ac:dyDescent="0.25">
      <c r="E801" s="2"/>
      <c r="H801"/>
    </row>
    <row r="802" spans="5:8" ht="14.25" customHeight="1" x14ac:dyDescent="0.25">
      <c r="E802" s="2"/>
      <c r="H802"/>
    </row>
    <row r="803" spans="5:8" ht="14.25" customHeight="1" x14ac:dyDescent="0.25">
      <c r="E803" s="2"/>
      <c r="H803"/>
    </row>
    <row r="804" spans="5:8" ht="14.25" customHeight="1" x14ac:dyDescent="0.25">
      <c r="E804" s="2"/>
      <c r="H804"/>
    </row>
    <row r="805" spans="5:8" ht="14.25" customHeight="1" x14ac:dyDescent="0.25">
      <c r="E805" s="2"/>
      <c r="H805"/>
    </row>
    <row r="806" spans="5:8" ht="14.25" customHeight="1" x14ac:dyDescent="0.25">
      <c r="E806" s="2"/>
      <c r="H806"/>
    </row>
    <row r="807" spans="5:8" ht="14.25" customHeight="1" x14ac:dyDescent="0.25">
      <c r="E807" s="2"/>
      <c r="H807"/>
    </row>
    <row r="808" spans="5:8" ht="14.25" customHeight="1" x14ac:dyDescent="0.25">
      <c r="E808" s="2"/>
      <c r="H808"/>
    </row>
    <row r="809" spans="5:8" ht="14.25" customHeight="1" x14ac:dyDescent="0.25">
      <c r="E809" s="2"/>
      <c r="H809"/>
    </row>
    <row r="810" spans="5:8" ht="14.25" customHeight="1" x14ac:dyDescent="0.25">
      <c r="E810" s="2"/>
      <c r="H810"/>
    </row>
    <row r="811" spans="5:8" ht="14.25" customHeight="1" x14ac:dyDescent="0.25">
      <c r="E811" s="2"/>
      <c r="H811"/>
    </row>
    <row r="812" spans="5:8" ht="14.25" customHeight="1" x14ac:dyDescent="0.25">
      <c r="E812" s="2"/>
      <c r="H812"/>
    </row>
    <row r="813" spans="5:8" ht="14.25" customHeight="1" x14ac:dyDescent="0.25">
      <c r="E813" s="2"/>
      <c r="H813"/>
    </row>
    <row r="814" spans="5:8" ht="14.25" customHeight="1" x14ac:dyDescent="0.25">
      <c r="E814" s="2"/>
      <c r="H814"/>
    </row>
    <row r="815" spans="5:8" ht="14.25" customHeight="1" x14ac:dyDescent="0.25">
      <c r="E815" s="2"/>
      <c r="H815"/>
    </row>
    <row r="816" spans="5:8" ht="14.25" customHeight="1" x14ac:dyDescent="0.25">
      <c r="E816" s="2"/>
      <c r="H816"/>
    </row>
    <row r="817" spans="5:8" ht="14.25" customHeight="1" x14ac:dyDescent="0.25">
      <c r="E817" s="2"/>
      <c r="H817"/>
    </row>
    <row r="818" spans="5:8" ht="14.25" customHeight="1" x14ac:dyDescent="0.25">
      <c r="E818" s="2"/>
      <c r="H818"/>
    </row>
    <row r="819" spans="5:8" ht="14.25" customHeight="1" x14ac:dyDescent="0.25">
      <c r="E819" s="2"/>
      <c r="H819"/>
    </row>
    <row r="820" spans="5:8" ht="14.25" customHeight="1" x14ac:dyDescent="0.25">
      <c r="E820" s="2"/>
      <c r="H820"/>
    </row>
    <row r="821" spans="5:8" ht="14.25" customHeight="1" x14ac:dyDescent="0.25">
      <c r="E821" s="2"/>
      <c r="H821"/>
    </row>
    <row r="822" spans="5:8" ht="14.25" customHeight="1" x14ac:dyDescent="0.25">
      <c r="E822" s="2"/>
      <c r="H822"/>
    </row>
    <row r="823" spans="5:8" ht="14.25" customHeight="1" x14ac:dyDescent="0.25">
      <c r="E823" s="2"/>
      <c r="H823"/>
    </row>
    <row r="824" spans="5:8" ht="14.25" customHeight="1" x14ac:dyDescent="0.25">
      <c r="E824" s="2"/>
      <c r="H824"/>
    </row>
    <row r="825" spans="5:8" ht="14.25" customHeight="1" x14ac:dyDescent="0.25">
      <c r="E825" s="2"/>
      <c r="H825"/>
    </row>
    <row r="826" spans="5:8" ht="14.25" customHeight="1" x14ac:dyDescent="0.25">
      <c r="E826" s="2"/>
      <c r="H826"/>
    </row>
    <row r="827" spans="5:8" ht="14.25" customHeight="1" x14ac:dyDescent="0.25">
      <c r="E827" s="2"/>
      <c r="H827"/>
    </row>
    <row r="828" spans="5:8" ht="14.25" customHeight="1" x14ac:dyDescent="0.25">
      <c r="E828" s="2"/>
      <c r="H828"/>
    </row>
    <row r="829" spans="5:8" ht="14.25" customHeight="1" x14ac:dyDescent="0.25">
      <c r="E829" s="2"/>
      <c r="H829"/>
    </row>
    <row r="830" spans="5:8" ht="14.25" customHeight="1" x14ac:dyDescent="0.25">
      <c r="E830" s="2"/>
      <c r="H830"/>
    </row>
    <row r="831" spans="5:8" ht="14.25" customHeight="1" x14ac:dyDescent="0.25">
      <c r="E831" s="2"/>
      <c r="H831"/>
    </row>
    <row r="832" spans="5:8" ht="14.25" customHeight="1" x14ac:dyDescent="0.25">
      <c r="E832" s="2"/>
      <c r="H832"/>
    </row>
    <row r="833" spans="5:8" ht="14.25" customHeight="1" x14ac:dyDescent="0.25">
      <c r="E833" s="2"/>
      <c r="H833"/>
    </row>
    <row r="834" spans="5:8" ht="14.25" customHeight="1" x14ac:dyDescent="0.25">
      <c r="E834" s="2"/>
      <c r="H834"/>
    </row>
    <row r="835" spans="5:8" ht="14.25" customHeight="1" x14ac:dyDescent="0.25">
      <c r="E835" s="2"/>
      <c r="H835"/>
    </row>
    <row r="836" spans="5:8" ht="14.25" customHeight="1" x14ac:dyDescent="0.25">
      <c r="E836" s="2"/>
      <c r="H836"/>
    </row>
    <row r="837" spans="5:8" ht="14.25" customHeight="1" x14ac:dyDescent="0.25">
      <c r="E837" s="2"/>
      <c r="H837"/>
    </row>
    <row r="838" spans="5:8" ht="14.25" customHeight="1" x14ac:dyDescent="0.25">
      <c r="E838" s="2"/>
      <c r="H838"/>
    </row>
    <row r="839" spans="5:8" ht="14.25" customHeight="1" x14ac:dyDescent="0.25">
      <c r="E839" s="2"/>
      <c r="H839"/>
    </row>
    <row r="840" spans="5:8" ht="14.25" customHeight="1" x14ac:dyDescent="0.25">
      <c r="E840" s="2"/>
      <c r="H840"/>
    </row>
    <row r="841" spans="5:8" ht="14.25" customHeight="1" x14ac:dyDescent="0.25">
      <c r="E841" s="2"/>
      <c r="H841"/>
    </row>
    <row r="842" spans="5:8" ht="14.25" customHeight="1" x14ac:dyDescent="0.25">
      <c r="E842" s="2"/>
      <c r="H842"/>
    </row>
    <row r="843" spans="5:8" ht="14.25" customHeight="1" x14ac:dyDescent="0.25">
      <c r="E843" s="2"/>
      <c r="H843"/>
    </row>
    <row r="844" spans="5:8" ht="14.25" customHeight="1" x14ac:dyDescent="0.25">
      <c r="E844" s="2"/>
      <c r="H844"/>
    </row>
    <row r="845" spans="5:8" ht="14.25" customHeight="1" x14ac:dyDescent="0.25">
      <c r="E845" s="2"/>
      <c r="H845"/>
    </row>
    <row r="846" spans="5:8" ht="14.25" customHeight="1" x14ac:dyDescent="0.25">
      <c r="E846" s="2"/>
      <c r="H846"/>
    </row>
    <row r="847" spans="5:8" ht="14.25" customHeight="1" x14ac:dyDescent="0.25">
      <c r="E847" s="2"/>
      <c r="H847"/>
    </row>
    <row r="848" spans="5:8" ht="14.25" customHeight="1" x14ac:dyDescent="0.25">
      <c r="E848" s="2"/>
      <c r="H848"/>
    </row>
    <row r="849" spans="5:8" ht="14.25" customHeight="1" x14ac:dyDescent="0.25">
      <c r="E849" s="2"/>
      <c r="H849"/>
    </row>
    <row r="850" spans="5:8" ht="14.25" customHeight="1" x14ac:dyDescent="0.25">
      <c r="E850" s="2"/>
      <c r="H850"/>
    </row>
    <row r="851" spans="5:8" ht="14.25" customHeight="1" x14ac:dyDescent="0.25">
      <c r="E851" s="2"/>
      <c r="H851"/>
    </row>
    <row r="852" spans="5:8" ht="14.25" customHeight="1" x14ac:dyDescent="0.25">
      <c r="E852" s="2"/>
      <c r="H852"/>
    </row>
    <row r="853" spans="5:8" ht="14.25" customHeight="1" x14ac:dyDescent="0.25">
      <c r="E853" s="2"/>
      <c r="H853"/>
    </row>
    <row r="854" spans="5:8" ht="14.25" customHeight="1" x14ac:dyDescent="0.25">
      <c r="E854" s="2"/>
      <c r="H854"/>
    </row>
    <row r="855" spans="5:8" ht="14.25" customHeight="1" x14ac:dyDescent="0.25">
      <c r="E855" s="2"/>
      <c r="H855"/>
    </row>
    <row r="856" spans="5:8" ht="14.25" customHeight="1" x14ac:dyDescent="0.25">
      <c r="E856" s="2"/>
      <c r="H856"/>
    </row>
    <row r="857" spans="5:8" ht="14.25" customHeight="1" x14ac:dyDescent="0.25">
      <c r="E857" s="2"/>
      <c r="H857"/>
    </row>
    <row r="858" spans="5:8" ht="14.25" customHeight="1" x14ac:dyDescent="0.25">
      <c r="E858" s="2"/>
      <c r="H858"/>
    </row>
    <row r="859" spans="5:8" ht="14.25" customHeight="1" x14ac:dyDescent="0.25">
      <c r="E859" s="2"/>
      <c r="H859"/>
    </row>
    <row r="860" spans="5:8" ht="14.25" customHeight="1" x14ac:dyDescent="0.25">
      <c r="E860" s="2"/>
      <c r="H860"/>
    </row>
    <row r="861" spans="5:8" ht="14.25" customHeight="1" x14ac:dyDescent="0.25">
      <c r="E861" s="2"/>
      <c r="H861"/>
    </row>
    <row r="862" spans="5:8" ht="14.25" customHeight="1" x14ac:dyDescent="0.25">
      <c r="E862" s="2"/>
      <c r="H862"/>
    </row>
    <row r="863" spans="5:8" ht="14.25" customHeight="1" x14ac:dyDescent="0.25">
      <c r="E863" s="2"/>
      <c r="H863"/>
    </row>
    <row r="864" spans="5:8" ht="14.25" customHeight="1" x14ac:dyDescent="0.25">
      <c r="E864" s="2"/>
      <c r="H864"/>
    </row>
    <row r="865" spans="5:8" ht="14.25" customHeight="1" x14ac:dyDescent="0.25">
      <c r="E865" s="2"/>
      <c r="H865"/>
    </row>
    <row r="866" spans="5:8" ht="14.25" customHeight="1" x14ac:dyDescent="0.25">
      <c r="E866" s="2"/>
      <c r="H866"/>
    </row>
    <row r="867" spans="5:8" ht="14.25" customHeight="1" x14ac:dyDescent="0.25">
      <c r="E867" s="2"/>
      <c r="H867"/>
    </row>
    <row r="868" spans="5:8" ht="14.25" customHeight="1" x14ac:dyDescent="0.25">
      <c r="E868" s="2"/>
      <c r="H868"/>
    </row>
    <row r="869" spans="5:8" ht="14.25" customHeight="1" x14ac:dyDescent="0.25">
      <c r="E869" s="2"/>
      <c r="H869"/>
    </row>
    <row r="870" spans="5:8" ht="14.25" customHeight="1" x14ac:dyDescent="0.25">
      <c r="E870" s="2"/>
      <c r="H870"/>
    </row>
    <row r="871" spans="5:8" ht="14.25" customHeight="1" x14ac:dyDescent="0.25">
      <c r="E871" s="2"/>
      <c r="H871"/>
    </row>
    <row r="872" spans="5:8" ht="14.25" customHeight="1" x14ac:dyDescent="0.25">
      <c r="E872" s="2"/>
      <c r="H872"/>
    </row>
    <row r="873" spans="5:8" ht="14.25" customHeight="1" x14ac:dyDescent="0.25">
      <c r="E873" s="2"/>
      <c r="H873"/>
    </row>
    <row r="874" spans="5:8" ht="14.25" customHeight="1" x14ac:dyDescent="0.25">
      <c r="E874" s="2"/>
      <c r="H874"/>
    </row>
    <row r="875" spans="5:8" ht="14.25" customHeight="1" x14ac:dyDescent="0.25">
      <c r="E875" s="2"/>
      <c r="H875"/>
    </row>
    <row r="876" spans="5:8" ht="14.25" customHeight="1" x14ac:dyDescent="0.25">
      <c r="E876" s="2"/>
      <c r="H876"/>
    </row>
    <row r="877" spans="5:8" ht="14.25" customHeight="1" x14ac:dyDescent="0.25">
      <c r="E877" s="2"/>
      <c r="H877"/>
    </row>
    <row r="878" spans="5:8" ht="14.25" customHeight="1" x14ac:dyDescent="0.25">
      <c r="E878" s="2"/>
      <c r="H878"/>
    </row>
    <row r="879" spans="5:8" ht="14.25" customHeight="1" x14ac:dyDescent="0.25">
      <c r="E879" s="2"/>
      <c r="H879"/>
    </row>
    <row r="880" spans="5:8" ht="14.25" customHeight="1" x14ac:dyDescent="0.25">
      <c r="E880" s="2"/>
      <c r="H880"/>
    </row>
    <row r="881" spans="5:8" ht="14.25" customHeight="1" x14ac:dyDescent="0.25">
      <c r="E881" s="2"/>
      <c r="H881"/>
    </row>
    <row r="882" spans="5:8" ht="14.25" customHeight="1" x14ac:dyDescent="0.25">
      <c r="E882" s="2"/>
      <c r="H882"/>
    </row>
    <row r="883" spans="5:8" ht="14.25" customHeight="1" x14ac:dyDescent="0.25">
      <c r="E883" s="2"/>
      <c r="H883"/>
    </row>
    <row r="884" spans="5:8" ht="14.25" customHeight="1" x14ac:dyDescent="0.25">
      <c r="E884" s="2"/>
      <c r="H884"/>
    </row>
    <row r="885" spans="5:8" ht="14.25" customHeight="1" x14ac:dyDescent="0.25">
      <c r="E885" s="2"/>
      <c r="H885"/>
    </row>
    <row r="886" spans="5:8" ht="14.25" customHeight="1" x14ac:dyDescent="0.25">
      <c r="E886" s="2"/>
      <c r="H886"/>
    </row>
    <row r="887" spans="5:8" ht="14.25" customHeight="1" x14ac:dyDescent="0.25">
      <c r="E887" s="2"/>
      <c r="H887"/>
    </row>
    <row r="888" spans="5:8" ht="14.25" customHeight="1" x14ac:dyDescent="0.25">
      <c r="E888" s="2"/>
      <c r="H888"/>
    </row>
    <row r="889" spans="5:8" ht="14.25" customHeight="1" x14ac:dyDescent="0.25">
      <c r="E889" s="2"/>
      <c r="H889"/>
    </row>
    <row r="890" spans="5:8" ht="14.25" customHeight="1" x14ac:dyDescent="0.25">
      <c r="E890" s="2"/>
      <c r="H890"/>
    </row>
    <row r="891" spans="5:8" ht="14.25" customHeight="1" x14ac:dyDescent="0.25">
      <c r="E891" s="2"/>
      <c r="H891"/>
    </row>
    <row r="892" spans="5:8" ht="14.25" customHeight="1" x14ac:dyDescent="0.25">
      <c r="E892" s="2"/>
      <c r="H892"/>
    </row>
    <row r="893" spans="5:8" ht="14.25" customHeight="1" x14ac:dyDescent="0.25">
      <c r="E893" s="2"/>
      <c r="H893"/>
    </row>
    <row r="894" spans="5:8" ht="14.25" customHeight="1" x14ac:dyDescent="0.25">
      <c r="E894" s="2"/>
      <c r="H894"/>
    </row>
    <row r="895" spans="5:8" ht="14.25" customHeight="1" x14ac:dyDescent="0.25">
      <c r="E895" s="2"/>
      <c r="H895"/>
    </row>
    <row r="896" spans="5:8" ht="14.25" customHeight="1" x14ac:dyDescent="0.25">
      <c r="E896" s="2"/>
      <c r="H896"/>
    </row>
    <row r="897" spans="5:8" ht="14.25" customHeight="1" x14ac:dyDescent="0.25">
      <c r="E897" s="2"/>
      <c r="H897"/>
    </row>
    <row r="898" spans="5:8" ht="14.25" customHeight="1" x14ac:dyDescent="0.25">
      <c r="E898" s="2"/>
      <c r="H898"/>
    </row>
    <row r="899" spans="5:8" ht="14.25" customHeight="1" x14ac:dyDescent="0.25">
      <c r="E899" s="2"/>
      <c r="H899"/>
    </row>
    <row r="900" spans="5:8" ht="14.25" customHeight="1" x14ac:dyDescent="0.25">
      <c r="E900" s="2"/>
      <c r="H900"/>
    </row>
    <row r="901" spans="5:8" ht="14.25" customHeight="1" x14ac:dyDescent="0.25">
      <c r="E901" s="2"/>
      <c r="H901"/>
    </row>
    <row r="902" spans="5:8" ht="14.25" customHeight="1" x14ac:dyDescent="0.25">
      <c r="E902" s="2"/>
      <c r="H902"/>
    </row>
    <row r="903" spans="5:8" ht="14.25" customHeight="1" x14ac:dyDescent="0.25">
      <c r="E903" s="2"/>
      <c r="H903"/>
    </row>
    <row r="904" spans="5:8" ht="14.25" customHeight="1" x14ac:dyDescent="0.25">
      <c r="E904" s="2"/>
      <c r="H904"/>
    </row>
    <row r="905" spans="5:8" ht="14.25" customHeight="1" x14ac:dyDescent="0.25">
      <c r="E905" s="2"/>
      <c r="H905"/>
    </row>
    <row r="906" spans="5:8" ht="14.25" customHeight="1" x14ac:dyDescent="0.25">
      <c r="E906" s="2"/>
      <c r="H906"/>
    </row>
    <row r="907" spans="5:8" ht="14.25" customHeight="1" x14ac:dyDescent="0.25">
      <c r="E907" s="2"/>
      <c r="H907"/>
    </row>
    <row r="908" spans="5:8" ht="14.25" customHeight="1" x14ac:dyDescent="0.25">
      <c r="E908" s="2"/>
      <c r="H908"/>
    </row>
    <row r="909" spans="5:8" ht="14.25" customHeight="1" x14ac:dyDescent="0.25">
      <c r="E909" s="2"/>
      <c r="H909"/>
    </row>
    <row r="910" spans="5:8" ht="14.25" customHeight="1" x14ac:dyDescent="0.25">
      <c r="E910" s="2"/>
      <c r="H910"/>
    </row>
    <row r="911" spans="5:8" ht="14.25" customHeight="1" x14ac:dyDescent="0.25">
      <c r="E911" s="2"/>
      <c r="H911"/>
    </row>
    <row r="912" spans="5:8" ht="14.25" customHeight="1" x14ac:dyDescent="0.25">
      <c r="E912" s="2"/>
      <c r="H912"/>
    </row>
    <row r="913" spans="5:8" ht="14.25" customHeight="1" x14ac:dyDescent="0.25">
      <c r="E913" s="2"/>
      <c r="H913"/>
    </row>
    <row r="914" spans="5:8" ht="14.25" customHeight="1" x14ac:dyDescent="0.25">
      <c r="E914" s="2"/>
      <c r="H914"/>
    </row>
    <row r="915" spans="5:8" ht="14.25" customHeight="1" x14ac:dyDescent="0.25">
      <c r="E915" s="2"/>
      <c r="H915"/>
    </row>
    <row r="916" spans="5:8" ht="14.25" customHeight="1" x14ac:dyDescent="0.25">
      <c r="E916" s="2"/>
      <c r="H916"/>
    </row>
    <row r="917" spans="5:8" ht="14.25" customHeight="1" x14ac:dyDescent="0.25">
      <c r="E917" s="2"/>
      <c r="H917"/>
    </row>
    <row r="918" spans="5:8" ht="14.25" customHeight="1" x14ac:dyDescent="0.25">
      <c r="E918" s="2"/>
      <c r="H918"/>
    </row>
    <row r="919" spans="5:8" ht="14.25" customHeight="1" x14ac:dyDescent="0.25">
      <c r="E919" s="2"/>
      <c r="H919"/>
    </row>
    <row r="920" spans="5:8" ht="14.25" customHeight="1" x14ac:dyDescent="0.25">
      <c r="E920" s="2"/>
      <c r="H920"/>
    </row>
    <row r="921" spans="5:8" ht="14.25" customHeight="1" x14ac:dyDescent="0.25">
      <c r="E921" s="2"/>
      <c r="H921"/>
    </row>
    <row r="922" spans="5:8" ht="14.25" customHeight="1" x14ac:dyDescent="0.25">
      <c r="E922" s="2"/>
      <c r="H922"/>
    </row>
    <row r="923" spans="5:8" ht="14.25" customHeight="1" x14ac:dyDescent="0.25">
      <c r="E923" s="2"/>
      <c r="H923"/>
    </row>
    <row r="924" spans="5:8" ht="14.25" customHeight="1" x14ac:dyDescent="0.25">
      <c r="E924" s="2"/>
      <c r="H924"/>
    </row>
    <row r="925" spans="5:8" ht="14.25" customHeight="1" x14ac:dyDescent="0.25">
      <c r="E925" s="2"/>
      <c r="H925"/>
    </row>
    <row r="926" spans="5:8" ht="14.25" customHeight="1" x14ac:dyDescent="0.25">
      <c r="E926" s="2"/>
      <c r="H926"/>
    </row>
    <row r="927" spans="5:8" ht="14.25" customHeight="1" x14ac:dyDescent="0.25">
      <c r="E927" s="2"/>
      <c r="H927"/>
    </row>
    <row r="928" spans="5:8" ht="14.25" customHeight="1" x14ac:dyDescent="0.25">
      <c r="E928" s="2"/>
      <c r="H928"/>
    </row>
    <row r="929" spans="5:8" ht="14.25" customHeight="1" x14ac:dyDescent="0.25">
      <c r="E929" s="2"/>
      <c r="H929"/>
    </row>
    <row r="930" spans="5:8" ht="14.25" customHeight="1" x14ac:dyDescent="0.25">
      <c r="E930" s="2"/>
      <c r="H930"/>
    </row>
    <row r="931" spans="5:8" ht="14.25" customHeight="1" x14ac:dyDescent="0.25">
      <c r="E931" s="2"/>
      <c r="H931"/>
    </row>
    <row r="932" spans="5:8" ht="14.25" customHeight="1" x14ac:dyDescent="0.25">
      <c r="E932" s="2"/>
      <c r="H932"/>
    </row>
    <row r="933" spans="5:8" ht="14.25" customHeight="1" x14ac:dyDescent="0.25">
      <c r="E933" s="2"/>
      <c r="H933"/>
    </row>
    <row r="934" spans="5:8" ht="14.25" customHeight="1" x14ac:dyDescent="0.25">
      <c r="E934" s="2"/>
      <c r="H934"/>
    </row>
    <row r="935" spans="5:8" ht="14.25" customHeight="1" x14ac:dyDescent="0.25">
      <c r="E935" s="2"/>
      <c r="H935"/>
    </row>
    <row r="936" spans="5:8" ht="14.25" customHeight="1" x14ac:dyDescent="0.25">
      <c r="E936" s="2"/>
      <c r="H936"/>
    </row>
    <row r="937" spans="5:8" ht="14.25" customHeight="1" x14ac:dyDescent="0.25">
      <c r="E937" s="2"/>
      <c r="H937"/>
    </row>
    <row r="938" spans="5:8" ht="14.25" customHeight="1" x14ac:dyDescent="0.25">
      <c r="E938" s="2"/>
      <c r="H938"/>
    </row>
    <row r="939" spans="5:8" ht="14.25" customHeight="1" x14ac:dyDescent="0.25">
      <c r="E939" s="2"/>
      <c r="H939"/>
    </row>
    <row r="940" spans="5:8" ht="14.25" customHeight="1" x14ac:dyDescent="0.25">
      <c r="E940" s="2"/>
      <c r="H940"/>
    </row>
    <row r="941" spans="5:8" ht="14.25" customHeight="1" x14ac:dyDescent="0.25">
      <c r="E941" s="2"/>
      <c r="H941"/>
    </row>
    <row r="942" spans="5:8" ht="14.25" customHeight="1" x14ac:dyDescent="0.25">
      <c r="E942" s="2"/>
      <c r="H942"/>
    </row>
    <row r="943" spans="5:8" ht="14.25" customHeight="1" x14ac:dyDescent="0.25">
      <c r="E943" s="2"/>
      <c r="H943"/>
    </row>
    <row r="944" spans="5:8" ht="14.25" customHeight="1" x14ac:dyDescent="0.25">
      <c r="E944" s="2"/>
      <c r="H944"/>
    </row>
    <row r="945" spans="5:8" ht="14.25" customHeight="1" x14ac:dyDescent="0.25">
      <c r="E945" s="2"/>
      <c r="H945"/>
    </row>
    <row r="946" spans="5:8" ht="14.25" customHeight="1" x14ac:dyDescent="0.25">
      <c r="E946" s="2"/>
      <c r="H946"/>
    </row>
    <row r="947" spans="5:8" ht="14.25" customHeight="1" x14ac:dyDescent="0.25">
      <c r="E947" s="2"/>
      <c r="H947"/>
    </row>
    <row r="948" spans="5:8" ht="14.25" customHeight="1" x14ac:dyDescent="0.25">
      <c r="E948" s="2"/>
      <c r="H948"/>
    </row>
    <row r="949" spans="5:8" ht="14.25" customHeight="1" x14ac:dyDescent="0.25">
      <c r="E949" s="2"/>
      <c r="H949"/>
    </row>
    <row r="950" spans="5:8" ht="14.25" customHeight="1" x14ac:dyDescent="0.25">
      <c r="E950" s="2"/>
      <c r="H950"/>
    </row>
    <row r="951" spans="5:8" ht="14.25" customHeight="1" x14ac:dyDescent="0.25">
      <c r="E951" s="2"/>
      <c r="H951"/>
    </row>
    <row r="952" spans="5:8" ht="14.25" customHeight="1" x14ac:dyDescent="0.25">
      <c r="E952" s="2"/>
      <c r="H952"/>
    </row>
    <row r="953" spans="5:8" ht="14.25" customHeight="1" x14ac:dyDescent="0.25">
      <c r="E953" s="2"/>
      <c r="H953"/>
    </row>
    <row r="954" spans="5:8" ht="14.25" customHeight="1" x14ac:dyDescent="0.25">
      <c r="E954" s="2"/>
      <c r="H954"/>
    </row>
    <row r="955" spans="5:8" ht="14.25" customHeight="1" x14ac:dyDescent="0.25">
      <c r="E955" s="2"/>
      <c r="H955"/>
    </row>
    <row r="956" spans="5:8" ht="14.25" customHeight="1" x14ac:dyDescent="0.25">
      <c r="E956" s="2"/>
      <c r="H956"/>
    </row>
    <row r="957" spans="5:8" ht="14.25" customHeight="1" x14ac:dyDescent="0.25">
      <c r="E957" s="2"/>
      <c r="H957"/>
    </row>
    <row r="958" spans="5:8" ht="14.25" customHeight="1" x14ac:dyDescent="0.25">
      <c r="E958" s="2"/>
      <c r="H958"/>
    </row>
    <row r="959" spans="5:8" ht="14.25" customHeight="1" x14ac:dyDescent="0.25">
      <c r="E959" s="2"/>
      <c r="H959"/>
    </row>
    <row r="960" spans="5:8" ht="14.25" customHeight="1" x14ac:dyDescent="0.25">
      <c r="E960" s="2"/>
      <c r="H960"/>
    </row>
    <row r="961" spans="5:8" ht="14.25" customHeight="1" x14ac:dyDescent="0.25">
      <c r="E961" s="2"/>
      <c r="H961"/>
    </row>
    <row r="962" spans="5:8" ht="14.25" customHeight="1" x14ac:dyDescent="0.25">
      <c r="E962" s="2"/>
      <c r="H962"/>
    </row>
    <row r="963" spans="5:8" ht="14.25" customHeight="1" x14ac:dyDescent="0.25">
      <c r="E963" s="2"/>
      <c r="H963"/>
    </row>
    <row r="964" spans="5:8" ht="14.25" customHeight="1" x14ac:dyDescent="0.25">
      <c r="E964" s="2"/>
      <c r="H964"/>
    </row>
    <row r="965" spans="5:8" ht="14.25" customHeight="1" x14ac:dyDescent="0.25">
      <c r="E965" s="2"/>
      <c r="H965"/>
    </row>
    <row r="966" spans="5:8" ht="14.25" customHeight="1" x14ac:dyDescent="0.25">
      <c r="E966" s="2"/>
      <c r="H966"/>
    </row>
    <row r="967" spans="5:8" ht="14.25" customHeight="1" x14ac:dyDescent="0.25">
      <c r="E967" s="2"/>
      <c r="H967"/>
    </row>
    <row r="968" spans="5:8" ht="14.25" customHeight="1" x14ac:dyDescent="0.25">
      <c r="E968" s="2"/>
      <c r="H968"/>
    </row>
    <row r="969" spans="5:8" ht="14.25" customHeight="1" x14ac:dyDescent="0.25">
      <c r="E969" s="2"/>
      <c r="H969"/>
    </row>
    <row r="970" spans="5:8" ht="14.25" customHeight="1" x14ac:dyDescent="0.25">
      <c r="E970" s="2"/>
      <c r="H970"/>
    </row>
    <row r="971" spans="5:8" ht="14.25" customHeight="1" x14ac:dyDescent="0.25">
      <c r="E971" s="2"/>
      <c r="H971"/>
    </row>
    <row r="972" spans="5:8" ht="14.25" customHeight="1" x14ac:dyDescent="0.25">
      <c r="E972" s="2"/>
      <c r="H972"/>
    </row>
    <row r="973" spans="5:8" ht="14.25" customHeight="1" x14ac:dyDescent="0.25">
      <c r="E973" s="2"/>
      <c r="H973"/>
    </row>
    <row r="974" spans="5:8" ht="14.25" customHeight="1" x14ac:dyDescent="0.25">
      <c r="E974" s="2"/>
      <c r="H974"/>
    </row>
    <row r="975" spans="5:8" ht="14.25" customHeight="1" x14ac:dyDescent="0.25">
      <c r="E975" s="2"/>
      <c r="H975"/>
    </row>
    <row r="976" spans="5:8" ht="14.25" customHeight="1" x14ac:dyDescent="0.25">
      <c r="E976" s="2"/>
      <c r="H976"/>
    </row>
    <row r="977" spans="5:8" ht="14.25" customHeight="1" x14ac:dyDescent="0.25">
      <c r="E977" s="2"/>
      <c r="H977"/>
    </row>
    <row r="978" spans="5:8" ht="14.25" customHeight="1" x14ac:dyDescent="0.25">
      <c r="E978" s="2"/>
      <c r="H978"/>
    </row>
    <row r="979" spans="5:8" ht="14.25" customHeight="1" x14ac:dyDescent="0.25">
      <c r="E979" s="2"/>
      <c r="H979"/>
    </row>
    <row r="980" spans="5:8" ht="14.25" customHeight="1" x14ac:dyDescent="0.25">
      <c r="E980" s="2"/>
      <c r="H980"/>
    </row>
    <row r="981" spans="5:8" ht="14.25" customHeight="1" x14ac:dyDescent="0.25">
      <c r="E981" s="2"/>
      <c r="H981"/>
    </row>
    <row r="982" spans="5:8" ht="14.25" customHeight="1" x14ac:dyDescent="0.25">
      <c r="E982" s="2"/>
      <c r="H982"/>
    </row>
    <row r="983" spans="5:8" ht="14.25" customHeight="1" x14ac:dyDescent="0.25">
      <c r="E983" s="2"/>
      <c r="H983"/>
    </row>
    <row r="984" spans="5:8" ht="14.25" customHeight="1" x14ac:dyDescent="0.25">
      <c r="E984" s="2"/>
      <c r="H984"/>
    </row>
    <row r="985" spans="5:8" ht="14.25" customHeight="1" x14ac:dyDescent="0.25">
      <c r="E985" s="2"/>
      <c r="H985"/>
    </row>
    <row r="986" spans="5:8" ht="14.25" customHeight="1" x14ac:dyDescent="0.25">
      <c r="E986" s="2"/>
      <c r="H986"/>
    </row>
    <row r="987" spans="5:8" ht="14.25" customHeight="1" x14ac:dyDescent="0.25">
      <c r="E987" s="2"/>
      <c r="H987"/>
    </row>
    <row r="988" spans="5:8" ht="14.25" customHeight="1" x14ac:dyDescent="0.25">
      <c r="E988" s="2"/>
      <c r="H988"/>
    </row>
    <row r="989" spans="5:8" ht="14.25" customHeight="1" x14ac:dyDescent="0.25">
      <c r="E989" s="2"/>
      <c r="H989"/>
    </row>
    <row r="990" spans="5:8" ht="14.25" customHeight="1" x14ac:dyDescent="0.25">
      <c r="E990" s="2"/>
      <c r="H990"/>
    </row>
    <row r="991" spans="5:8" ht="14.25" customHeight="1" x14ac:dyDescent="0.25">
      <c r="E991" s="2"/>
      <c r="H991"/>
    </row>
    <row r="992" spans="5:8" ht="14.25" customHeight="1" x14ac:dyDescent="0.25">
      <c r="E992" s="2"/>
      <c r="H992"/>
    </row>
    <row r="993" spans="5:8" ht="14.25" customHeight="1" x14ac:dyDescent="0.25">
      <c r="E993" s="2"/>
      <c r="H993"/>
    </row>
    <row r="994" spans="5:8" ht="14.25" customHeight="1" x14ac:dyDescent="0.25">
      <c r="E994" s="2"/>
      <c r="H994"/>
    </row>
    <row r="995" spans="5:8" ht="15" customHeight="1" x14ac:dyDescent="0.25">
      <c r="E995" s="2"/>
      <c r="H995"/>
    </row>
  </sheetData>
  <mergeCells count="97">
    <mergeCell ref="A41:A42"/>
    <mergeCell ref="B41:C42"/>
    <mergeCell ref="G41:G42"/>
    <mergeCell ref="H41:H42"/>
    <mergeCell ref="I41:I42"/>
    <mergeCell ref="J41:J42"/>
    <mergeCell ref="K41:K42"/>
    <mergeCell ref="L41:L42"/>
    <mergeCell ref="L43:L44"/>
    <mergeCell ref="A39:A40"/>
    <mergeCell ref="B39:C40"/>
    <mergeCell ref="G39:G40"/>
    <mergeCell ref="H39:H40"/>
    <mergeCell ref="I39:I40"/>
    <mergeCell ref="J39:J40"/>
    <mergeCell ref="K39:K40"/>
    <mergeCell ref="L39:L40"/>
    <mergeCell ref="A43:A44"/>
    <mergeCell ref="B43:C44"/>
    <mergeCell ref="G43:G44"/>
    <mergeCell ref="H43:H44"/>
    <mergeCell ref="I43:I44"/>
    <mergeCell ref="J43:J44"/>
    <mergeCell ref="K43:K44"/>
    <mergeCell ref="A20:A21"/>
    <mergeCell ref="I20:I21"/>
    <mergeCell ref="J20:J21"/>
    <mergeCell ref="K20:K21"/>
    <mergeCell ref="A18:A19"/>
    <mergeCell ref="G20:G21"/>
    <mergeCell ref="B20:C21"/>
    <mergeCell ref="H20:H21"/>
    <mergeCell ref="I18:I19"/>
    <mergeCell ref="J18:J19"/>
    <mergeCell ref="K18:K19"/>
    <mergeCell ref="L18:L19"/>
    <mergeCell ref="B18:C19"/>
    <mergeCell ref="G18:G19"/>
    <mergeCell ref="H18:H19"/>
    <mergeCell ref="L20:L21"/>
    <mergeCell ref="D51:I51"/>
    <mergeCell ref="A31:C31"/>
    <mergeCell ref="D31:F31"/>
    <mergeCell ref="G31:J33"/>
    <mergeCell ref="K31:L31"/>
    <mergeCell ref="A33:C33"/>
    <mergeCell ref="D33:F33"/>
    <mergeCell ref="K33:L33"/>
    <mergeCell ref="A48:C48"/>
    <mergeCell ref="H48:L48"/>
    <mergeCell ref="A49:C49"/>
    <mergeCell ref="H49:L49"/>
    <mergeCell ref="A45:C45"/>
    <mergeCell ref="H37:H38"/>
    <mergeCell ref="D52:I52"/>
    <mergeCell ref="D53:I53"/>
    <mergeCell ref="A54:C54"/>
    <mergeCell ref="I54:J54"/>
    <mergeCell ref="K54:L54"/>
    <mergeCell ref="K29:L30"/>
    <mergeCell ref="B22:C22"/>
    <mergeCell ref="A24:A25"/>
    <mergeCell ref="A37:A38"/>
    <mergeCell ref="B37:C38"/>
    <mergeCell ref="D37:D38"/>
    <mergeCell ref="E37:E38"/>
    <mergeCell ref="F37:F38"/>
    <mergeCell ref="G37:G38"/>
    <mergeCell ref="K35:L35"/>
    <mergeCell ref="A32:C32"/>
    <mergeCell ref="D32:F32"/>
    <mergeCell ref="K32:L32"/>
    <mergeCell ref="K34:L34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29:C30"/>
    <mergeCell ref="D29:F30"/>
    <mergeCell ref="G29:J30"/>
    <mergeCell ref="A2:L2"/>
    <mergeCell ref="A3:L3"/>
    <mergeCell ref="A4:L4"/>
    <mergeCell ref="A5:L5"/>
    <mergeCell ref="A6:L6"/>
    <mergeCell ref="B24:C25"/>
    <mergeCell ref="D24:D25"/>
    <mergeCell ref="E24:G25"/>
    <mergeCell ref="H24:H25"/>
    <mergeCell ref="A26:C26"/>
    <mergeCell ref="E26:G26"/>
  </mergeCells>
  <pageMargins left="0.5" right="0.25" top="0.25" bottom="0.25" header="0" footer="0"/>
  <pageSetup paperSize="5" scale="8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001"/>
  <sheetViews>
    <sheetView topLeftCell="A34" zoomScale="115" zoomScaleNormal="115" workbookViewId="0">
      <selection activeCell="B48" sqref="B48:C48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61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x14ac:dyDescent="0.25">
      <c r="A18" s="511" t="s">
        <v>100</v>
      </c>
      <c r="B18" s="691" t="s">
        <v>101</v>
      </c>
      <c r="C18" s="691"/>
      <c r="D18" s="113" t="s">
        <v>49</v>
      </c>
      <c r="E18" s="114" t="s">
        <v>81</v>
      </c>
      <c r="F18" s="112" t="s">
        <v>102</v>
      </c>
      <c r="G18" s="513" t="s">
        <v>185</v>
      </c>
      <c r="H18" s="689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12" s="99" customFormat="1" ht="14.25" customHeight="1" x14ac:dyDescent="0.25">
      <c r="A19" s="511"/>
      <c r="B19" s="691"/>
      <c r="C19" s="691"/>
      <c r="D19" s="113" t="s">
        <v>28</v>
      </c>
      <c r="E19" s="115" t="s">
        <v>103</v>
      </c>
      <c r="F19" s="112" t="s">
        <v>102</v>
      </c>
      <c r="G19" s="513"/>
      <c r="H19" s="566"/>
      <c r="I19" s="513"/>
      <c r="J19" s="513"/>
      <c r="K19" s="513"/>
      <c r="L19" s="514"/>
    </row>
    <row r="20" spans="1:12" s="99" customFormat="1" ht="14.25" customHeight="1" x14ac:dyDescent="0.25">
      <c r="A20" s="511" t="s">
        <v>100</v>
      </c>
      <c r="B20" s="691" t="s">
        <v>101</v>
      </c>
      <c r="C20" s="691"/>
      <c r="D20" s="113" t="s">
        <v>49</v>
      </c>
      <c r="E20" s="114" t="s">
        <v>82</v>
      </c>
      <c r="F20" s="112" t="s">
        <v>102</v>
      </c>
      <c r="G20" s="513" t="s">
        <v>184</v>
      </c>
      <c r="H20" s="687">
        <v>40</v>
      </c>
      <c r="I20" s="513">
        <v>2</v>
      </c>
      <c r="J20" s="513">
        <v>1</v>
      </c>
      <c r="K20" s="513">
        <v>3</v>
      </c>
      <c r="L20" s="514">
        <v>5</v>
      </c>
    </row>
    <row r="21" spans="1:12" s="99" customFormat="1" ht="14.25" customHeight="1" x14ac:dyDescent="0.25">
      <c r="A21" s="511"/>
      <c r="B21" s="691"/>
      <c r="C21" s="691"/>
      <c r="D21" s="113" t="s">
        <v>28</v>
      </c>
      <c r="E21" s="189" t="s">
        <v>104</v>
      </c>
      <c r="F21" s="112" t="s">
        <v>102</v>
      </c>
      <c r="G21" s="513"/>
      <c r="H21" s="566"/>
      <c r="I21" s="513"/>
      <c r="J21" s="513"/>
      <c r="K21" s="513"/>
      <c r="L21" s="514"/>
    </row>
    <row r="22" spans="1:12" s="99" customFormat="1" ht="14.25" customHeight="1" x14ac:dyDescent="0.25">
      <c r="A22" s="511" t="s">
        <v>100</v>
      </c>
      <c r="B22" s="691" t="s">
        <v>101</v>
      </c>
      <c r="C22" s="691"/>
      <c r="D22" s="113" t="s">
        <v>50</v>
      </c>
      <c r="E22" s="114" t="s">
        <v>105</v>
      </c>
      <c r="F22" s="112" t="s">
        <v>106</v>
      </c>
      <c r="G22" s="513" t="s">
        <v>183</v>
      </c>
      <c r="H22" s="687">
        <v>40</v>
      </c>
      <c r="I22" s="513">
        <v>2</v>
      </c>
      <c r="J22" s="513">
        <v>1</v>
      </c>
      <c r="K22" s="513">
        <v>3</v>
      </c>
      <c r="L22" s="514">
        <v>5</v>
      </c>
    </row>
    <row r="23" spans="1:12" ht="14.25" customHeight="1" x14ac:dyDescent="0.25">
      <c r="A23" s="511"/>
      <c r="B23" s="691"/>
      <c r="C23" s="691"/>
      <c r="D23" s="113" t="s">
        <v>27</v>
      </c>
      <c r="E23" s="114" t="s">
        <v>92</v>
      </c>
      <c r="F23" s="112" t="s">
        <v>106</v>
      </c>
      <c r="G23" s="513"/>
      <c r="H23" s="566"/>
      <c r="I23" s="513"/>
      <c r="J23" s="513"/>
      <c r="K23" s="513"/>
      <c r="L23" s="514"/>
    </row>
    <row r="24" spans="1:12" s="99" customFormat="1" ht="14.25" customHeight="1" x14ac:dyDescent="0.25">
      <c r="A24" s="511" t="s">
        <v>100</v>
      </c>
      <c r="B24" s="691" t="s">
        <v>101</v>
      </c>
      <c r="C24" s="691"/>
      <c r="D24" s="113" t="s">
        <v>49</v>
      </c>
      <c r="E24" s="114" t="s">
        <v>79</v>
      </c>
      <c r="F24" s="112" t="s">
        <v>106</v>
      </c>
      <c r="G24" s="513" t="s">
        <v>179</v>
      </c>
      <c r="H24" s="687">
        <v>40</v>
      </c>
      <c r="I24" s="513">
        <v>2</v>
      </c>
      <c r="J24" s="513">
        <v>1</v>
      </c>
      <c r="K24" s="513">
        <v>3</v>
      </c>
      <c r="L24" s="514">
        <v>5</v>
      </c>
    </row>
    <row r="25" spans="1:12" s="99" customFormat="1" ht="14.25" customHeight="1" x14ac:dyDescent="0.25">
      <c r="A25" s="511"/>
      <c r="B25" s="691"/>
      <c r="C25" s="691"/>
      <c r="D25" s="113" t="s">
        <v>27</v>
      </c>
      <c r="E25" s="114" t="s">
        <v>107</v>
      </c>
      <c r="F25" s="112" t="s">
        <v>106</v>
      </c>
      <c r="G25" s="513"/>
      <c r="H25" s="566"/>
      <c r="I25" s="513"/>
      <c r="J25" s="513"/>
      <c r="K25" s="513"/>
      <c r="L25" s="514"/>
    </row>
    <row r="26" spans="1:12" s="99" customFormat="1" ht="14.25" customHeight="1" x14ac:dyDescent="0.25">
      <c r="A26" s="554" t="s">
        <v>100</v>
      </c>
      <c r="B26" s="692" t="s">
        <v>101</v>
      </c>
      <c r="C26" s="692"/>
      <c r="D26" s="119" t="s">
        <v>49</v>
      </c>
      <c r="E26" s="120" t="s">
        <v>88</v>
      </c>
      <c r="F26" s="121" t="s">
        <v>106</v>
      </c>
      <c r="G26" s="553" t="s">
        <v>186</v>
      </c>
      <c r="H26" s="507">
        <v>40</v>
      </c>
      <c r="I26" s="553">
        <v>2</v>
      </c>
      <c r="J26" s="553">
        <v>1</v>
      </c>
      <c r="K26" s="553">
        <v>3</v>
      </c>
      <c r="L26" s="556">
        <v>1</v>
      </c>
    </row>
    <row r="27" spans="1:12" ht="14.25" customHeight="1" thickBot="1" x14ac:dyDescent="0.3">
      <c r="A27" s="606"/>
      <c r="B27" s="693"/>
      <c r="C27" s="693"/>
      <c r="D27" s="159" t="s">
        <v>27</v>
      </c>
      <c r="E27" s="160" t="s">
        <v>87</v>
      </c>
      <c r="F27" s="161" t="s">
        <v>106</v>
      </c>
      <c r="G27" s="605"/>
      <c r="H27" s="508"/>
      <c r="I27" s="605"/>
      <c r="J27" s="605"/>
      <c r="K27" s="605"/>
      <c r="L27" s="609"/>
    </row>
    <row r="28" spans="1:12" ht="14.25" customHeight="1" thickBot="1" x14ac:dyDescent="0.3">
      <c r="A28" s="169"/>
      <c r="B28" s="695"/>
      <c r="C28" s="696"/>
      <c r="D28" s="145"/>
      <c r="E28" s="156" t="s">
        <v>29</v>
      </c>
      <c r="F28" s="170"/>
      <c r="G28" s="170"/>
      <c r="H28" s="188"/>
      <c r="I28" s="171"/>
      <c r="J28" s="171"/>
      <c r="K28" s="122">
        <f>SUM(K18:K27)</f>
        <v>15</v>
      </c>
      <c r="L28" s="123">
        <f>SUM(L18:L27)</f>
        <v>21</v>
      </c>
    </row>
    <row r="29" spans="1:12" ht="14.25" customHeight="1" thickBot="1" x14ac:dyDescent="0.3">
      <c r="A29" s="7" t="s">
        <v>30</v>
      </c>
      <c r="B29" s="8"/>
      <c r="E29" s="2"/>
    </row>
    <row r="30" spans="1:12" ht="14.25" customHeight="1" x14ac:dyDescent="0.25">
      <c r="A30" s="524" t="s">
        <v>13</v>
      </c>
      <c r="B30" s="526" t="s">
        <v>14</v>
      </c>
      <c r="C30" s="527"/>
      <c r="D30" s="528" t="s">
        <v>15</v>
      </c>
      <c r="E30" s="526" t="s">
        <v>16</v>
      </c>
      <c r="F30" s="503"/>
      <c r="G30" s="527"/>
      <c r="H30" s="530" t="s">
        <v>19</v>
      </c>
      <c r="I30" s="13" t="s">
        <v>20</v>
      </c>
      <c r="J30" s="13" t="s">
        <v>20</v>
      </c>
      <c r="K30" s="13" t="s">
        <v>21</v>
      </c>
      <c r="L30" s="14" t="s">
        <v>22</v>
      </c>
    </row>
    <row r="31" spans="1:12" ht="14.25" customHeight="1" x14ac:dyDescent="0.25">
      <c r="A31" s="525"/>
      <c r="B31" s="482"/>
      <c r="C31" s="472"/>
      <c r="D31" s="529"/>
      <c r="E31" s="482"/>
      <c r="F31" s="437"/>
      <c r="G31" s="472"/>
      <c r="H31" s="531"/>
      <c r="I31" s="15" t="s">
        <v>23</v>
      </c>
      <c r="J31" s="15" t="s">
        <v>24</v>
      </c>
      <c r="K31" s="15" t="s">
        <v>25</v>
      </c>
      <c r="L31" s="16" t="s">
        <v>26</v>
      </c>
    </row>
    <row r="32" spans="1:12" ht="14.25" customHeight="1" thickBot="1" x14ac:dyDescent="0.3">
      <c r="A32" s="636"/>
      <c r="B32" s="642"/>
      <c r="C32" s="643"/>
      <c r="D32" s="58"/>
      <c r="E32" s="644"/>
      <c r="F32" s="501"/>
      <c r="G32" s="645"/>
      <c r="H32" s="184"/>
      <c r="I32" s="58"/>
      <c r="J32" s="58"/>
      <c r="K32" s="58"/>
      <c r="L32" s="59"/>
    </row>
    <row r="33" spans="1:12" ht="14.25" customHeight="1" x14ac:dyDescent="0.25">
      <c r="D33" s="10" t="s">
        <v>31</v>
      </c>
      <c r="E33" s="17"/>
      <c r="F33" s="11"/>
      <c r="G33" s="11"/>
      <c r="H33" s="173"/>
      <c r="I33" s="11"/>
      <c r="K33" s="32">
        <f t="shared" ref="K33:L33" si="0">SUM(K32)</f>
        <v>0</v>
      </c>
      <c r="L33" s="32">
        <f t="shared" si="0"/>
        <v>0</v>
      </c>
    </row>
    <row r="34" spans="1:12" ht="14.25" customHeight="1" thickBot="1" x14ac:dyDescent="0.3">
      <c r="A34" s="7" t="s">
        <v>32</v>
      </c>
      <c r="B34" s="18"/>
      <c r="C34" s="19"/>
      <c r="D34" s="19"/>
      <c r="E34" s="2"/>
      <c r="F34" s="19"/>
      <c r="G34" s="19"/>
      <c r="H34" s="175"/>
      <c r="I34" s="19"/>
      <c r="J34" s="19"/>
      <c r="K34" s="19"/>
      <c r="L34" s="19"/>
    </row>
    <row r="35" spans="1:12" ht="14.25" customHeight="1" x14ac:dyDescent="0.25">
      <c r="A35" s="492" t="s">
        <v>15</v>
      </c>
      <c r="B35" s="493"/>
      <c r="C35" s="494"/>
      <c r="D35" s="480" t="s">
        <v>16</v>
      </c>
      <c r="E35" s="493"/>
      <c r="F35" s="494"/>
      <c r="G35" s="480" t="s">
        <v>33</v>
      </c>
      <c r="H35" s="493"/>
      <c r="I35" s="493"/>
      <c r="J35" s="494"/>
      <c r="K35" s="480" t="s">
        <v>34</v>
      </c>
      <c r="L35" s="481"/>
    </row>
    <row r="36" spans="1:12" ht="14.25" customHeight="1" x14ac:dyDescent="0.25">
      <c r="A36" s="495"/>
      <c r="B36" s="437"/>
      <c r="C36" s="472"/>
      <c r="D36" s="482"/>
      <c r="E36" s="437"/>
      <c r="F36" s="472"/>
      <c r="G36" s="482"/>
      <c r="H36" s="437"/>
      <c r="I36" s="437"/>
      <c r="J36" s="472"/>
      <c r="K36" s="482"/>
      <c r="L36" s="475"/>
    </row>
    <row r="37" spans="1:12" ht="14.25" customHeight="1" x14ac:dyDescent="0.25">
      <c r="A37" s="476" t="s">
        <v>49</v>
      </c>
      <c r="B37" s="453"/>
      <c r="C37" s="477"/>
      <c r="D37" s="539" t="s">
        <v>264</v>
      </c>
      <c r="E37" s="453"/>
      <c r="F37" s="477"/>
      <c r="G37" s="462" t="s">
        <v>75</v>
      </c>
      <c r="H37" s="463"/>
      <c r="I37" s="463"/>
      <c r="J37" s="464"/>
      <c r="K37" s="474">
        <v>2</v>
      </c>
      <c r="L37" s="475"/>
    </row>
    <row r="38" spans="1:12" s="79" customFormat="1" ht="14.25" customHeight="1" x14ac:dyDescent="0.25">
      <c r="A38" s="476" t="s">
        <v>28</v>
      </c>
      <c r="B38" s="453"/>
      <c r="C38" s="477"/>
      <c r="D38" s="539" t="s">
        <v>262</v>
      </c>
      <c r="E38" s="453"/>
      <c r="F38" s="477"/>
      <c r="G38" s="465"/>
      <c r="H38" s="466"/>
      <c r="I38" s="466"/>
      <c r="J38" s="467"/>
      <c r="K38" s="478">
        <v>5</v>
      </c>
      <c r="L38" s="479"/>
    </row>
    <row r="39" spans="1:12" s="383" customFormat="1" ht="14.25" customHeight="1" x14ac:dyDescent="0.25">
      <c r="A39" s="476" t="s">
        <v>38</v>
      </c>
      <c r="B39" s="453"/>
      <c r="C39" s="477"/>
      <c r="D39" s="539" t="s">
        <v>265</v>
      </c>
      <c r="E39" s="453"/>
      <c r="F39" s="477"/>
      <c r="G39" s="465"/>
      <c r="H39" s="466"/>
      <c r="I39" s="466"/>
      <c r="J39" s="467"/>
      <c r="K39" s="478">
        <v>9</v>
      </c>
      <c r="L39" s="479"/>
    </row>
    <row r="40" spans="1:12" s="79" customFormat="1" ht="14.25" customHeight="1" thickBot="1" x14ac:dyDescent="0.3">
      <c r="A40" s="694" t="s">
        <v>50</v>
      </c>
      <c r="B40" s="458"/>
      <c r="C40" s="459"/>
      <c r="D40" s="457" t="s">
        <v>263</v>
      </c>
      <c r="E40" s="458"/>
      <c r="F40" s="459"/>
      <c r="G40" s="468"/>
      <c r="H40" s="469"/>
      <c r="I40" s="469"/>
      <c r="J40" s="470"/>
      <c r="K40" s="460">
        <v>3</v>
      </c>
      <c r="L40" s="461"/>
    </row>
    <row r="41" spans="1:12" x14ac:dyDescent="0.25">
      <c r="A41" s="56"/>
      <c r="B41" s="56"/>
      <c r="C41" s="56"/>
      <c r="D41" s="10" t="s">
        <v>35</v>
      </c>
      <c r="E41" s="17"/>
      <c r="F41" s="11"/>
      <c r="G41" s="11"/>
      <c r="H41" s="173"/>
      <c r="I41" s="11"/>
      <c r="J41" s="20"/>
      <c r="K41" s="451">
        <f>SUM(K37:L40)</f>
        <v>19</v>
      </c>
      <c r="L41" s="437"/>
    </row>
    <row r="42" spans="1:12" x14ac:dyDescent="0.25">
      <c r="A42" s="56"/>
      <c r="B42" s="56"/>
      <c r="C42" s="56"/>
      <c r="D42" s="10" t="s">
        <v>36</v>
      </c>
      <c r="E42" s="17"/>
      <c r="F42" s="11"/>
      <c r="G42" s="11"/>
      <c r="H42" s="173"/>
      <c r="I42" s="11"/>
      <c r="K42" s="452">
        <f>L28+L33+K41</f>
        <v>40</v>
      </c>
      <c r="L42" s="453"/>
    </row>
    <row r="43" spans="1:12" ht="17.25" thickBot="1" x14ac:dyDescent="0.3">
      <c r="A43" s="7" t="s">
        <v>37</v>
      </c>
      <c r="B43" s="19"/>
      <c r="D43" s="21"/>
      <c r="E43" s="22"/>
      <c r="F43" s="21"/>
      <c r="G43" s="21"/>
      <c r="H43" s="176"/>
      <c r="I43" s="21"/>
      <c r="J43" s="21"/>
      <c r="K43" s="23"/>
      <c r="L43" s="24"/>
    </row>
    <row r="44" spans="1:12" x14ac:dyDescent="0.25">
      <c r="A44" s="446" t="s">
        <v>13</v>
      </c>
      <c r="B44" s="448" t="s">
        <v>14</v>
      </c>
      <c r="C44" s="449"/>
      <c r="D44" s="448" t="s">
        <v>15</v>
      </c>
      <c r="E44" s="450" t="s">
        <v>16</v>
      </c>
      <c r="F44" s="448" t="s">
        <v>17</v>
      </c>
      <c r="G44" s="448" t="s">
        <v>18</v>
      </c>
      <c r="H44" s="441" t="s">
        <v>19</v>
      </c>
      <c r="I44" s="49" t="s">
        <v>20</v>
      </c>
      <c r="J44" s="49" t="s">
        <v>20</v>
      </c>
      <c r="K44" s="49" t="s">
        <v>21</v>
      </c>
      <c r="L44" s="50" t="s">
        <v>22</v>
      </c>
    </row>
    <row r="45" spans="1:12" x14ac:dyDescent="0.25">
      <c r="A45" s="620"/>
      <c r="B45" s="506"/>
      <c r="C45" s="506"/>
      <c r="D45" s="506"/>
      <c r="E45" s="506"/>
      <c r="F45" s="506"/>
      <c r="G45" s="506"/>
      <c r="H45" s="506"/>
      <c r="I45" s="190" t="s">
        <v>23</v>
      </c>
      <c r="J45" s="190" t="s">
        <v>24</v>
      </c>
      <c r="K45" s="190" t="s">
        <v>25</v>
      </c>
      <c r="L45" s="191" t="s">
        <v>26</v>
      </c>
    </row>
    <row r="46" spans="1:12" s="99" customFormat="1" x14ac:dyDescent="0.25">
      <c r="A46" s="554" t="s">
        <v>100</v>
      </c>
      <c r="B46" s="692" t="s">
        <v>101</v>
      </c>
      <c r="C46" s="692"/>
      <c r="D46" s="119" t="s">
        <v>49</v>
      </c>
      <c r="E46" s="120" t="s">
        <v>88</v>
      </c>
      <c r="F46" s="121" t="s">
        <v>106</v>
      </c>
      <c r="G46" s="553" t="s">
        <v>186</v>
      </c>
      <c r="H46" s="507">
        <v>40</v>
      </c>
      <c r="I46" s="553"/>
      <c r="J46" s="553"/>
      <c r="K46" s="553"/>
      <c r="L46" s="556">
        <v>4</v>
      </c>
    </row>
    <row r="47" spans="1:12" s="99" customFormat="1" x14ac:dyDescent="0.25">
      <c r="A47" s="554"/>
      <c r="B47" s="692"/>
      <c r="C47" s="692"/>
      <c r="D47" s="119" t="s">
        <v>27</v>
      </c>
      <c r="E47" s="120" t="s">
        <v>87</v>
      </c>
      <c r="F47" s="121" t="s">
        <v>106</v>
      </c>
      <c r="G47" s="553"/>
      <c r="H47" s="669"/>
      <c r="I47" s="553"/>
      <c r="J47" s="553"/>
      <c r="K47" s="553"/>
      <c r="L47" s="556"/>
    </row>
    <row r="48" spans="1:12" s="407" customFormat="1" ht="23.25" customHeight="1" x14ac:dyDescent="0.25">
      <c r="A48" s="251" t="s">
        <v>131</v>
      </c>
      <c r="B48" s="804" t="s">
        <v>153</v>
      </c>
      <c r="C48" s="804"/>
      <c r="D48" s="398" t="s">
        <v>95</v>
      </c>
      <c r="E48" s="253" t="s">
        <v>164</v>
      </c>
      <c r="F48" s="252" t="s">
        <v>80</v>
      </c>
      <c r="G48" s="252" t="s">
        <v>300</v>
      </c>
      <c r="H48" s="252">
        <v>40</v>
      </c>
      <c r="I48" s="252">
        <v>3</v>
      </c>
      <c r="J48" s="252">
        <v>0</v>
      </c>
      <c r="K48" s="252">
        <v>3</v>
      </c>
      <c r="L48" s="254">
        <v>3</v>
      </c>
    </row>
    <row r="49" spans="1:12" s="99" customFormat="1" x14ac:dyDescent="0.25">
      <c r="A49" s="511" t="s">
        <v>131</v>
      </c>
      <c r="B49" s="623" t="s">
        <v>134</v>
      </c>
      <c r="C49" s="679"/>
      <c r="D49" s="113" t="s">
        <v>50</v>
      </c>
      <c r="E49" s="114" t="s">
        <v>88</v>
      </c>
      <c r="F49" s="118" t="s">
        <v>106</v>
      </c>
      <c r="G49" s="513" t="s">
        <v>188</v>
      </c>
      <c r="H49" s="687">
        <v>40</v>
      </c>
      <c r="I49" s="513">
        <v>2</v>
      </c>
      <c r="J49" s="513">
        <v>1</v>
      </c>
      <c r="K49" s="513">
        <v>3</v>
      </c>
      <c r="L49" s="514">
        <v>5</v>
      </c>
    </row>
    <row r="50" spans="1:12" s="88" customFormat="1" ht="14.25" customHeight="1" thickBot="1" x14ac:dyDescent="0.3">
      <c r="A50" s="558"/>
      <c r="B50" s="690"/>
      <c r="C50" s="690"/>
      <c r="D50" s="124" t="s">
        <v>27</v>
      </c>
      <c r="E50" s="125" t="s">
        <v>123</v>
      </c>
      <c r="F50" s="132" t="s">
        <v>106</v>
      </c>
      <c r="G50" s="551"/>
      <c r="H50" s="688"/>
      <c r="I50" s="551"/>
      <c r="J50" s="551"/>
      <c r="K50" s="551"/>
      <c r="L50" s="552"/>
    </row>
    <row r="51" spans="1:12" ht="14.25" customHeight="1" x14ac:dyDescent="0.25">
      <c r="A51" s="438"/>
      <c r="B51" s="438"/>
      <c r="C51" s="438"/>
      <c r="D51" s="134" t="s">
        <v>39</v>
      </c>
      <c r="E51" s="153"/>
      <c r="F51" s="137"/>
      <c r="G51" s="137"/>
      <c r="H51" s="187"/>
      <c r="I51" s="137"/>
      <c r="J51" s="137"/>
      <c r="K51" s="222">
        <f>SUM(K46:K50)</f>
        <v>6</v>
      </c>
      <c r="L51" s="222">
        <f>SUM(L46:L50)</f>
        <v>12</v>
      </c>
    </row>
    <row r="52" spans="1:12" ht="14.25" customHeight="1" x14ac:dyDescent="0.25">
      <c r="A52" s="133"/>
      <c r="B52" s="133"/>
      <c r="C52" s="133"/>
      <c r="D52" s="134" t="s">
        <v>40</v>
      </c>
      <c r="E52" s="135"/>
      <c r="F52" s="136"/>
      <c r="G52" s="136"/>
      <c r="H52" s="185"/>
      <c r="I52" s="136"/>
      <c r="J52" s="136"/>
      <c r="K52" s="223">
        <f>SUM(K28,K33,K51)</f>
        <v>21</v>
      </c>
      <c r="L52" s="223">
        <f>(L28+L33+K41+L51)</f>
        <v>52</v>
      </c>
    </row>
    <row r="53" spans="1:12" ht="3.75" customHeight="1" x14ac:dyDescent="0.25">
      <c r="A53" s="133"/>
      <c r="B53" s="133"/>
      <c r="C53" s="133"/>
      <c r="D53" s="134"/>
      <c r="E53" s="135"/>
      <c r="F53" s="136"/>
      <c r="G53" s="136"/>
      <c r="H53" s="185"/>
      <c r="I53" s="136"/>
      <c r="J53" s="136"/>
      <c r="K53" s="137"/>
      <c r="L53" s="137"/>
    </row>
    <row r="54" spans="1:12" ht="14.25" customHeight="1" x14ac:dyDescent="0.3">
      <c r="A54" s="440" t="s">
        <v>41</v>
      </c>
      <c r="B54" s="431"/>
      <c r="C54" s="431"/>
      <c r="D54" s="27"/>
      <c r="E54" s="27"/>
      <c r="F54" s="27"/>
      <c r="G54" s="27"/>
      <c r="H54" s="178" t="s">
        <v>42</v>
      </c>
      <c r="I54" s="6"/>
      <c r="J54" s="6"/>
      <c r="K54" s="6"/>
      <c r="L54" s="5"/>
    </row>
    <row r="55" spans="1:12" ht="14.25" customHeight="1" x14ac:dyDescent="0.25">
      <c r="A55" s="28"/>
      <c r="B55" s="28"/>
      <c r="C55" s="28"/>
      <c r="D55" s="20"/>
      <c r="E55" s="2"/>
      <c r="F55" s="20"/>
      <c r="G55" s="20"/>
      <c r="H55" s="179"/>
      <c r="I55" s="28"/>
      <c r="J55" s="28"/>
      <c r="K55" s="28"/>
      <c r="L55" s="28"/>
    </row>
    <row r="56" spans="1:12" ht="16.5" customHeight="1" x14ac:dyDescent="0.25">
      <c r="A56" s="432" t="s">
        <v>43</v>
      </c>
      <c r="B56" s="431"/>
      <c r="C56" s="431"/>
      <c r="D56" s="27"/>
      <c r="E56" s="27"/>
      <c r="F56" s="27"/>
      <c r="G56" s="27"/>
      <c r="H56" s="433" t="s">
        <v>44</v>
      </c>
      <c r="I56" s="434"/>
      <c r="J56" s="434"/>
      <c r="K56" s="434"/>
      <c r="L56" s="434"/>
    </row>
    <row r="57" spans="1:12" ht="18" customHeight="1" x14ac:dyDescent="0.25">
      <c r="A57" s="435" t="s">
        <v>45</v>
      </c>
      <c r="B57" s="431"/>
      <c r="C57" s="431"/>
      <c r="D57" s="27"/>
      <c r="E57" s="27"/>
      <c r="F57" s="27"/>
      <c r="G57" s="27"/>
      <c r="H57" s="435" t="s">
        <v>46</v>
      </c>
      <c r="I57" s="431"/>
      <c r="J57" s="431"/>
      <c r="K57" s="431"/>
      <c r="L57" s="431"/>
    </row>
    <row r="58" spans="1:12" ht="14.25" customHeight="1" x14ac:dyDescent="0.25">
      <c r="A58" s="20"/>
      <c r="B58" s="20"/>
      <c r="C58" s="20"/>
      <c r="D58" s="20"/>
      <c r="E58" s="2"/>
      <c r="F58" s="20"/>
      <c r="G58" s="20"/>
      <c r="H58" s="180"/>
      <c r="I58" s="20"/>
      <c r="J58" s="20"/>
      <c r="K58" s="20"/>
      <c r="L58" s="20"/>
    </row>
    <row r="59" spans="1:12" ht="14.25" customHeight="1" x14ac:dyDescent="0.25">
      <c r="A59" s="20"/>
      <c r="B59" s="20"/>
      <c r="C59" s="270"/>
      <c r="D59" s="436" t="s">
        <v>192</v>
      </c>
      <c r="E59" s="437"/>
      <c r="F59" s="437"/>
      <c r="G59" s="437"/>
      <c r="H59" s="437"/>
      <c r="I59" s="437"/>
      <c r="J59" s="20"/>
      <c r="K59" s="20"/>
      <c r="L59" s="20"/>
    </row>
    <row r="60" spans="1:12" ht="2.25" customHeight="1" x14ac:dyDescent="0.25">
      <c r="A60" s="270"/>
      <c r="B60" s="270"/>
      <c r="C60" s="20"/>
      <c r="D60" s="433" t="s">
        <v>47</v>
      </c>
      <c r="E60" s="434"/>
      <c r="F60" s="434"/>
      <c r="G60" s="434"/>
      <c r="H60" s="434"/>
      <c r="I60" s="434"/>
      <c r="J60" s="20"/>
      <c r="K60" s="20"/>
      <c r="L60" s="20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</row>
    <row r="65" spans="5:8" ht="14.25" customHeight="1" x14ac:dyDescent="0.25">
      <c r="E65" s="2"/>
      <c r="H65" s="53"/>
    </row>
    <row r="66" spans="5:8" ht="14.25" customHeight="1" x14ac:dyDescent="0.25">
      <c r="E66" s="2"/>
    </row>
    <row r="67" spans="5:8" ht="14.25" customHeight="1" x14ac:dyDescent="0.25">
      <c r="E67" s="2"/>
    </row>
    <row r="68" spans="5:8" ht="14.25" customHeight="1" x14ac:dyDescent="0.25">
      <c r="E68" s="2"/>
    </row>
    <row r="69" spans="5:8" ht="14.25" customHeight="1" x14ac:dyDescent="0.25">
      <c r="E69" s="2"/>
    </row>
    <row r="70" spans="5:8" ht="14.25" customHeight="1" x14ac:dyDescent="0.25">
      <c r="E70" s="2"/>
    </row>
    <row r="71" spans="5:8" ht="14.25" customHeight="1" x14ac:dyDescent="0.25">
      <c r="E71" s="2"/>
    </row>
    <row r="72" spans="5:8" ht="14.25" customHeight="1" x14ac:dyDescent="0.25">
      <c r="E72" s="2"/>
    </row>
    <row r="73" spans="5:8" ht="14.25" customHeight="1" x14ac:dyDescent="0.25">
      <c r="E73" s="2"/>
    </row>
    <row r="74" spans="5:8" ht="14.25" customHeight="1" x14ac:dyDescent="0.25">
      <c r="E74" s="2"/>
    </row>
    <row r="75" spans="5:8" ht="14.25" customHeight="1" x14ac:dyDescent="0.25">
      <c r="E75" s="2"/>
    </row>
    <row r="76" spans="5:8" ht="14.25" customHeight="1" x14ac:dyDescent="0.25">
      <c r="E76" s="2"/>
    </row>
    <row r="77" spans="5:8" ht="14.25" customHeight="1" x14ac:dyDescent="0.25">
      <c r="E77" s="2"/>
    </row>
    <row r="78" spans="5:8" ht="14.25" customHeight="1" x14ac:dyDescent="0.25">
      <c r="E78" s="2"/>
    </row>
    <row r="79" spans="5:8" ht="14.25" customHeight="1" x14ac:dyDescent="0.25">
      <c r="E79" s="2"/>
    </row>
    <row r="80" spans="5:8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  <row r="998" spans="5:5" ht="14.25" customHeight="1" x14ac:dyDescent="0.25">
      <c r="E998" s="2"/>
    </row>
    <row r="999" spans="5:5" ht="14.25" customHeight="1" x14ac:dyDescent="0.25">
      <c r="E999" s="2"/>
    </row>
    <row r="1000" spans="5:5" ht="14.25" customHeight="1" x14ac:dyDescent="0.25">
      <c r="E1000" s="2"/>
    </row>
    <row r="1001" spans="5:5" ht="14.25" customHeight="1" x14ac:dyDescent="0.25">
      <c r="E1001" s="2"/>
    </row>
  </sheetData>
  <mergeCells count="114">
    <mergeCell ref="K41:L41"/>
    <mergeCell ref="K42:L42"/>
    <mergeCell ref="K35:L36"/>
    <mergeCell ref="B28:C28"/>
    <mergeCell ref="G44:G45"/>
    <mergeCell ref="H44:H45"/>
    <mergeCell ref="K40:L40"/>
    <mergeCell ref="K37:L37"/>
    <mergeCell ref="K38:L38"/>
    <mergeCell ref="A38:C38"/>
    <mergeCell ref="D38:F38"/>
    <mergeCell ref="K39:L39"/>
    <mergeCell ref="L26:L27"/>
    <mergeCell ref="G26:G27"/>
    <mergeCell ref="A26:A27"/>
    <mergeCell ref="I26:I27"/>
    <mergeCell ref="J26:J27"/>
    <mergeCell ref="K26:K27"/>
    <mergeCell ref="B26:C27"/>
    <mergeCell ref="K24:K25"/>
    <mergeCell ref="A44:A45"/>
    <mergeCell ref="B44:C45"/>
    <mergeCell ref="D44:D45"/>
    <mergeCell ref="E44:E45"/>
    <mergeCell ref="F44:F45"/>
    <mergeCell ref="A40:C40"/>
    <mergeCell ref="D40:F40"/>
    <mergeCell ref="D39:F39"/>
    <mergeCell ref="A32:C32"/>
    <mergeCell ref="E32:G32"/>
    <mergeCell ref="A35:C36"/>
    <mergeCell ref="D35:F36"/>
    <mergeCell ref="G35:J36"/>
    <mergeCell ref="A37:C37"/>
    <mergeCell ref="A39:C39"/>
    <mergeCell ref="G37:J40"/>
    <mergeCell ref="A51:C51"/>
    <mergeCell ref="A54:C54"/>
    <mergeCell ref="D59:I59"/>
    <mergeCell ref="A56:C56"/>
    <mergeCell ref="H56:L56"/>
    <mergeCell ref="A57:C57"/>
    <mergeCell ref="H57:L57"/>
    <mergeCell ref="D60:I60"/>
    <mergeCell ref="K18:K19"/>
    <mergeCell ref="L18:L19"/>
    <mergeCell ref="L20:L21"/>
    <mergeCell ref="B20:C21"/>
    <mergeCell ref="G20:G21"/>
    <mergeCell ref="A18:A19"/>
    <mergeCell ref="B18:C19"/>
    <mergeCell ref="G18:G19"/>
    <mergeCell ref="I18:I19"/>
    <mergeCell ref="J18:J19"/>
    <mergeCell ref="L24:L25"/>
    <mergeCell ref="B24:C25"/>
    <mergeCell ref="G24:G25"/>
    <mergeCell ref="A24:A25"/>
    <mergeCell ref="I24:I25"/>
    <mergeCell ref="J24:J25"/>
    <mergeCell ref="J49:J50"/>
    <mergeCell ref="K49:K50"/>
    <mergeCell ref="L49:L50"/>
    <mergeCell ref="K46:K47"/>
    <mergeCell ref="L46:L47"/>
    <mergeCell ref="A46:A47"/>
    <mergeCell ref="B46:C47"/>
    <mergeCell ref="G46:G47"/>
    <mergeCell ref="I46:I47"/>
    <mergeCell ref="J46:J47"/>
    <mergeCell ref="B48:C48"/>
    <mergeCell ref="J20:J21"/>
    <mergeCell ref="K20:K21"/>
    <mergeCell ref="L22:L23"/>
    <mergeCell ref="G22:G23"/>
    <mergeCell ref="A2:L2"/>
    <mergeCell ref="A3:L3"/>
    <mergeCell ref="A4:L4"/>
    <mergeCell ref="A5:L5"/>
    <mergeCell ref="A6:L6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I22:I23"/>
    <mergeCell ref="J22:J23"/>
    <mergeCell ref="K22:K23"/>
    <mergeCell ref="B22:C23"/>
    <mergeCell ref="A22:A23"/>
    <mergeCell ref="H18:H19"/>
    <mergeCell ref="H20:H21"/>
    <mergeCell ref="H22:H23"/>
    <mergeCell ref="H24:H25"/>
    <mergeCell ref="H26:H27"/>
    <mergeCell ref="H46:H47"/>
    <mergeCell ref="H49:H50"/>
    <mergeCell ref="A20:A21"/>
    <mergeCell ref="I20:I21"/>
    <mergeCell ref="A49:A50"/>
    <mergeCell ref="B49:C50"/>
    <mergeCell ref="G49:G50"/>
    <mergeCell ref="I49:I50"/>
    <mergeCell ref="D37:F37"/>
    <mergeCell ref="A30:A31"/>
    <mergeCell ref="B30:C31"/>
    <mergeCell ref="D30:D31"/>
    <mergeCell ref="E30:G31"/>
    <mergeCell ref="H30:H31"/>
  </mergeCells>
  <pageMargins left="0.5" right="0.25" top="0.25" bottom="0.25" header="0" footer="0"/>
  <pageSetup paperSize="5" scale="8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003"/>
  <sheetViews>
    <sheetView topLeftCell="A14" zoomScale="85" zoomScaleNormal="85" workbookViewId="0">
      <selection activeCell="Q51" sqref="Q51"/>
    </sheetView>
  </sheetViews>
  <sheetFormatPr defaultColWidth="14.42578125" defaultRowHeight="15" customHeight="1" x14ac:dyDescent="0.25"/>
  <cols>
    <col min="1" max="1" width="10" style="36" customWidth="1"/>
    <col min="2" max="2" width="8.85546875" style="36" customWidth="1"/>
    <col min="3" max="3" width="16.7109375" style="36" customWidth="1"/>
    <col min="4" max="4" width="8" style="36" customWidth="1"/>
    <col min="5" max="5" width="16.85546875" style="36" customWidth="1"/>
    <col min="6" max="6" width="9.7109375" style="36" customWidth="1"/>
    <col min="7" max="7" width="10" style="36" customWidth="1"/>
    <col min="8" max="8" width="9.42578125" style="86" customWidth="1"/>
    <col min="9" max="12" width="5.85546875" style="36" customWidth="1"/>
    <col min="13" max="26" width="8.85546875" style="36" customWidth="1"/>
    <col min="27" max="16384" width="14.42578125" style="36"/>
  </cols>
  <sheetData>
    <row r="1" spans="1:12" ht="14.25" customHeight="1" x14ac:dyDescent="0.25">
      <c r="A1" s="3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8"/>
      <c r="B8" s="38"/>
      <c r="C8" s="38"/>
      <c r="D8" s="38"/>
      <c r="E8" s="4"/>
      <c r="F8" s="38"/>
      <c r="G8" s="38"/>
      <c r="H8" s="98"/>
      <c r="I8" s="38"/>
      <c r="J8" s="38"/>
      <c r="K8" s="38"/>
      <c r="L8" s="38"/>
    </row>
    <row r="9" spans="1:12" ht="20.25" customHeight="1" x14ac:dyDescent="0.3">
      <c r="A9" s="496" t="s">
        <v>65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x14ac:dyDescent="0.25">
      <c r="A17" s="504"/>
      <c r="B17" s="505"/>
      <c r="C17" s="505"/>
      <c r="D17" s="505"/>
      <c r="E17" s="505"/>
      <c r="F17" s="505"/>
      <c r="G17" s="505"/>
      <c r="H17" s="506"/>
      <c r="I17" s="89" t="s">
        <v>23</v>
      </c>
      <c r="J17" s="89" t="s">
        <v>24</v>
      </c>
      <c r="K17" s="89" t="s">
        <v>25</v>
      </c>
      <c r="L17" s="90" t="s">
        <v>26</v>
      </c>
    </row>
    <row r="18" spans="1:12" ht="14.25" customHeight="1" x14ac:dyDescent="0.25">
      <c r="A18" s="130" t="s">
        <v>90</v>
      </c>
      <c r="B18" s="587" t="s">
        <v>91</v>
      </c>
      <c r="C18" s="587"/>
      <c r="D18" s="221" t="s">
        <v>27</v>
      </c>
      <c r="E18" s="114" t="s">
        <v>92</v>
      </c>
      <c r="F18" s="118" t="s">
        <v>80</v>
      </c>
      <c r="G18" s="118" t="s">
        <v>173</v>
      </c>
      <c r="H18" s="116">
        <v>40</v>
      </c>
      <c r="I18" s="118">
        <v>3</v>
      </c>
      <c r="J18" s="118">
        <v>0</v>
      </c>
      <c r="K18" s="118">
        <v>3</v>
      </c>
      <c r="L18" s="131">
        <v>3</v>
      </c>
    </row>
    <row r="19" spans="1:12" ht="14.25" customHeight="1" x14ac:dyDescent="0.25">
      <c r="A19" s="130" t="s">
        <v>90</v>
      </c>
      <c r="B19" s="587" t="s">
        <v>91</v>
      </c>
      <c r="C19" s="587"/>
      <c r="D19" s="221" t="s">
        <v>50</v>
      </c>
      <c r="E19" s="114" t="s">
        <v>92</v>
      </c>
      <c r="F19" s="118" t="s">
        <v>80</v>
      </c>
      <c r="G19" s="118" t="s">
        <v>171</v>
      </c>
      <c r="H19" s="116">
        <v>40</v>
      </c>
      <c r="I19" s="118">
        <v>3</v>
      </c>
      <c r="J19" s="118">
        <v>0</v>
      </c>
      <c r="K19" s="118">
        <v>3</v>
      </c>
      <c r="L19" s="131">
        <v>3</v>
      </c>
    </row>
    <row r="20" spans="1:12" ht="14.25" customHeight="1" x14ac:dyDescent="0.25">
      <c r="A20" s="130" t="s">
        <v>90</v>
      </c>
      <c r="B20" s="587" t="s">
        <v>91</v>
      </c>
      <c r="C20" s="587"/>
      <c r="D20" s="221" t="s">
        <v>50</v>
      </c>
      <c r="E20" s="114" t="s">
        <v>127</v>
      </c>
      <c r="F20" s="118" t="s">
        <v>80</v>
      </c>
      <c r="G20" s="118" t="s">
        <v>172</v>
      </c>
      <c r="H20" s="116">
        <v>40</v>
      </c>
      <c r="I20" s="118">
        <v>3</v>
      </c>
      <c r="J20" s="118">
        <v>0</v>
      </c>
      <c r="K20" s="118">
        <v>3</v>
      </c>
      <c r="L20" s="131">
        <v>3</v>
      </c>
    </row>
    <row r="21" spans="1:12" s="111" customFormat="1" ht="14.25" customHeight="1" x14ac:dyDescent="0.25">
      <c r="A21" s="511" t="s">
        <v>119</v>
      </c>
      <c r="B21" s="512" t="s">
        <v>120</v>
      </c>
      <c r="C21" s="512"/>
      <c r="D21" s="113" t="s">
        <v>28</v>
      </c>
      <c r="E21" s="114" t="s">
        <v>81</v>
      </c>
      <c r="F21" s="118" t="s">
        <v>86</v>
      </c>
      <c r="G21" s="513" t="s">
        <v>172</v>
      </c>
      <c r="H21" s="687">
        <v>40</v>
      </c>
      <c r="I21" s="513">
        <v>2</v>
      </c>
      <c r="J21" s="513">
        <v>1</v>
      </c>
      <c r="K21" s="513">
        <v>3</v>
      </c>
      <c r="L21" s="514">
        <v>5</v>
      </c>
    </row>
    <row r="22" spans="1:12" s="111" customFormat="1" ht="14.25" customHeight="1" x14ac:dyDescent="0.25">
      <c r="A22" s="511"/>
      <c r="B22" s="512"/>
      <c r="C22" s="512"/>
      <c r="D22" s="113" t="s">
        <v>38</v>
      </c>
      <c r="E22" s="114" t="s">
        <v>92</v>
      </c>
      <c r="F22" s="118">
        <v>20</v>
      </c>
      <c r="G22" s="513"/>
      <c r="H22" s="566"/>
      <c r="I22" s="513"/>
      <c r="J22" s="513"/>
      <c r="K22" s="513"/>
      <c r="L22" s="514"/>
    </row>
    <row r="23" spans="1:12" s="111" customFormat="1" ht="14.25" customHeight="1" x14ac:dyDescent="0.25">
      <c r="A23" s="511" t="s">
        <v>119</v>
      </c>
      <c r="B23" s="512" t="s">
        <v>120</v>
      </c>
      <c r="C23" s="512"/>
      <c r="D23" s="113" t="s">
        <v>49</v>
      </c>
      <c r="E23" s="114" t="s">
        <v>82</v>
      </c>
      <c r="F23" s="118" t="s">
        <v>86</v>
      </c>
      <c r="G23" s="513" t="s">
        <v>173</v>
      </c>
      <c r="H23" s="687">
        <v>40</v>
      </c>
      <c r="I23" s="513">
        <v>2</v>
      </c>
      <c r="J23" s="513">
        <v>1</v>
      </c>
      <c r="K23" s="513">
        <v>3</v>
      </c>
      <c r="L23" s="514">
        <v>5</v>
      </c>
    </row>
    <row r="24" spans="1:12" s="111" customFormat="1" ht="14.25" customHeight="1" x14ac:dyDescent="0.25">
      <c r="A24" s="511"/>
      <c r="B24" s="512"/>
      <c r="C24" s="512"/>
      <c r="D24" s="113" t="s">
        <v>50</v>
      </c>
      <c r="E24" s="114" t="s">
        <v>103</v>
      </c>
      <c r="F24" s="118">
        <v>20</v>
      </c>
      <c r="G24" s="513"/>
      <c r="H24" s="566"/>
      <c r="I24" s="513"/>
      <c r="J24" s="513"/>
      <c r="K24" s="513"/>
      <c r="L24" s="514"/>
    </row>
    <row r="25" spans="1:12" s="111" customFormat="1" ht="14.25" customHeight="1" x14ac:dyDescent="0.25">
      <c r="A25" s="627" t="s">
        <v>119</v>
      </c>
      <c r="B25" s="661" t="s">
        <v>120</v>
      </c>
      <c r="C25" s="661"/>
      <c r="D25" s="213" t="s">
        <v>49</v>
      </c>
      <c r="E25" s="214" t="s">
        <v>79</v>
      </c>
      <c r="F25" s="215" t="s">
        <v>86</v>
      </c>
      <c r="G25" s="629" t="s">
        <v>171</v>
      </c>
      <c r="H25" s="697">
        <v>40</v>
      </c>
      <c r="I25" s="629">
        <v>2</v>
      </c>
      <c r="J25" s="629">
        <v>1</v>
      </c>
      <c r="K25" s="629">
        <v>3</v>
      </c>
      <c r="L25" s="632">
        <v>2</v>
      </c>
    </row>
    <row r="26" spans="1:12" s="111" customFormat="1" ht="14.25" customHeight="1" thickBot="1" x14ac:dyDescent="0.3">
      <c r="A26" s="628"/>
      <c r="B26" s="662"/>
      <c r="C26" s="662"/>
      <c r="D26" s="216" t="s">
        <v>28</v>
      </c>
      <c r="E26" s="217" t="s">
        <v>92</v>
      </c>
      <c r="F26" s="218">
        <v>20</v>
      </c>
      <c r="G26" s="630"/>
      <c r="H26" s="698"/>
      <c r="I26" s="630"/>
      <c r="J26" s="630"/>
      <c r="K26" s="630"/>
      <c r="L26" s="633"/>
    </row>
    <row r="27" spans="1:12" ht="14.25" customHeight="1" x14ac:dyDescent="0.25">
      <c r="B27" s="523"/>
      <c r="C27" s="431"/>
      <c r="E27" s="4" t="s">
        <v>29</v>
      </c>
      <c r="F27" s="10"/>
      <c r="G27" s="10"/>
      <c r="H27" s="173"/>
      <c r="I27" s="11"/>
      <c r="J27" s="11"/>
      <c r="K27" s="12">
        <f>SUM(K18:K26)</f>
        <v>18</v>
      </c>
      <c r="L27" s="12">
        <f>SUM(L18:L26)</f>
        <v>21</v>
      </c>
    </row>
    <row r="28" spans="1:12" ht="14.25" customHeight="1" thickBot="1" x14ac:dyDescent="0.3">
      <c r="A28" s="7" t="s">
        <v>30</v>
      </c>
      <c r="B28" s="8"/>
      <c r="E28" s="2"/>
    </row>
    <row r="29" spans="1:12" ht="14.25" customHeight="1" x14ac:dyDescent="0.25">
      <c r="A29" s="524" t="s">
        <v>13</v>
      </c>
      <c r="B29" s="526" t="s">
        <v>14</v>
      </c>
      <c r="C29" s="527"/>
      <c r="D29" s="528" t="s">
        <v>15</v>
      </c>
      <c r="E29" s="526" t="s">
        <v>16</v>
      </c>
      <c r="F29" s="503"/>
      <c r="G29" s="527"/>
      <c r="H29" s="530" t="s">
        <v>19</v>
      </c>
      <c r="I29" s="13" t="s">
        <v>20</v>
      </c>
      <c r="J29" s="13" t="s">
        <v>20</v>
      </c>
      <c r="K29" s="13" t="s">
        <v>21</v>
      </c>
      <c r="L29" s="14" t="s">
        <v>22</v>
      </c>
    </row>
    <row r="30" spans="1:12" ht="14.25" customHeight="1" x14ac:dyDescent="0.25">
      <c r="A30" s="525"/>
      <c r="B30" s="482"/>
      <c r="C30" s="472"/>
      <c r="D30" s="529"/>
      <c r="E30" s="482"/>
      <c r="F30" s="437"/>
      <c r="G30" s="472"/>
      <c r="H30" s="531"/>
      <c r="I30" s="15" t="s">
        <v>23</v>
      </c>
      <c r="J30" s="15" t="s">
        <v>24</v>
      </c>
      <c r="K30" s="15" t="s">
        <v>25</v>
      </c>
      <c r="L30" s="16" t="s">
        <v>26</v>
      </c>
    </row>
    <row r="31" spans="1:12" ht="14.25" customHeight="1" thickBot="1" x14ac:dyDescent="0.3">
      <c r="A31" s="636"/>
      <c r="B31" s="642"/>
      <c r="C31" s="643"/>
      <c r="D31" s="34"/>
      <c r="E31" s="644"/>
      <c r="F31" s="501"/>
      <c r="G31" s="645"/>
      <c r="H31" s="184"/>
      <c r="I31" s="34"/>
      <c r="J31" s="34"/>
      <c r="K31" s="34"/>
      <c r="L31" s="35"/>
    </row>
    <row r="32" spans="1:12" ht="14.25" customHeight="1" x14ac:dyDescent="0.25">
      <c r="D32" s="10" t="s">
        <v>31</v>
      </c>
      <c r="E32" s="17"/>
      <c r="F32" s="11"/>
      <c r="G32" s="11"/>
      <c r="H32" s="173"/>
      <c r="I32" s="11"/>
      <c r="K32" s="32">
        <f t="shared" ref="K32:L32" si="0">SUM(K31)</f>
        <v>0</v>
      </c>
      <c r="L32" s="32">
        <f t="shared" si="0"/>
        <v>0</v>
      </c>
    </row>
    <row r="33" spans="1:12" ht="14.25" customHeight="1" thickBot="1" x14ac:dyDescent="0.3">
      <c r="A33" s="7" t="s">
        <v>32</v>
      </c>
      <c r="B33" s="18"/>
      <c r="C33" s="19"/>
      <c r="D33" s="19"/>
      <c r="E33" s="2"/>
      <c r="F33" s="19"/>
      <c r="G33" s="19"/>
      <c r="H33" s="175"/>
      <c r="I33" s="19"/>
      <c r="J33" s="19"/>
      <c r="K33" s="19"/>
      <c r="L33" s="19"/>
    </row>
    <row r="34" spans="1:12" ht="14.25" customHeight="1" x14ac:dyDescent="0.25">
      <c r="A34" s="485" t="s">
        <v>15</v>
      </c>
      <c r="B34" s="488"/>
      <c r="C34" s="488"/>
      <c r="D34" s="487" t="s">
        <v>16</v>
      </c>
      <c r="E34" s="488"/>
      <c r="F34" s="488"/>
      <c r="G34" s="487" t="s">
        <v>33</v>
      </c>
      <c r="H34" s="488"/>
      <c r="I34" s="488"/>
      <c r="J34" s="488"/>
      <c r="K34" s="487" t="s">
        <v>34</v>
      </c>
      <c r="L34" s="714"/>
    </row>
    <row r="35" spans="1:12" ht="14.25" customHeight="1" thickBot="1" x14ac:dyDescent="0.3">
      <c r="A35" s="486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712"/>
    </row>
    <row r="36" spans="1:12" s="79" customFormat="1" ht="14.25" customHeight="1" x14ac:dyDescent="0.25">
      <c r="A36" s="708" t="s">
        <v>28</v>
      </c>
      <c r="B36" s="709"/>
      <c r="C36" s="709"/>
      <c r="D36" s="713" t="s">
        <v>72</v>
      </c>
      <c r="E36" s="709"/>
      <c r="F36" s="709"/>
      <c r="G36" s="484" t="s">
        <v>75</v>
      </c>
      <c r="H36" s="484"/>
      <c r="I36" s="484"/>
      <c r="J36" s="484"/>
      <c r="K36" s="701">
        <v>6</v>
      </c>
      <c r="L36" s="702"/>
    </row>
    <row r="37" spans="1:12" ht="14.25" customHeight="1" x14ac:dyDescent="0.25">
      <c r="A37" s="703" t="s">
        <v>49</v>
      </c>
      <c r="B37" s="505"/>
      <c r="C37" s="505"/>
      <c r="D37" s="704" t="s">
        <v>73</v>
      </c>
      <c r="E37" s="505"/>
      <c r="F37" s="505"/>
      <c r="G37" s="700"/>
      <c r="H37" s="700"/>
      <c r="I37" s="700"/>
      <c r="J37" s="700"/>
      <c r="K37" s="705">
        <v>4</v>
      </c>
      <c r="L37" s="706"/>
    </row>
    <row r="38" spans="1:12" s="79" customFormat="1" ht="14.25" customHeight="1" x14ac:dyDescent="0.25">
      <c r="A38" s="703" t="s">
        <v>27</v>
      </c>
      <c r="B38" s="505"/>
      <c r="C38" s="505"/>
      <c r="D38" s="704" t="s">
        <v>73</v>
      </c>
      <c r="E38" s="505"/>
      <c r="F38" s="505"/>
      <c r="G38" s="700"/>
      <c r="H38" s="700"/>
      <c r="I38" s="700"/>
      <c r="J38" s="700"/>
      <c r="K38" s="705">
        <v>4</v>
      </c>
      <c r="L38" s="706"/>
    </row>
    <row r="39" spans="1:12" ht="14.25" customHeight="1" x14ac:dyDescent="0.25">
      <c r="A39" s="703" t="s">
        <v>38</v>
      </c>
      <c r="B39" s="505"/>
      <c r="C39" s="505"/>
      <c r="D39" s="704" t="s">
        <v>74</v>
      </c>
      <c r="E39" s="505"/>
      <c r="F39" s="505"/>
      <c r="G39" s="700"/>
      <c r="H39" s="700"/>
      <c r="I39" s="700"/>
      <c r="J39" s="700"/>
      <c r="K39" s="705">
        <v>1</v>
      </c>
      <c r="L39" s="706"/>
    </row>
    <row r="40" spans="1:12" ht="15.75" thickBot="1" x14ac:dyDescent="0.3">
      <c r="A40" s="707" t="s">
        <v>50</v>
      </c>
      <c r="B40" s="489"/>
      <c r="C40" s="489"/>
      <c r="D40" s="710" t="s">
        <v>73</v>
      </c>
      <c r="E40" s="489"/>
      <c r="F40" s="489"/>
      <c r="G40" s="491"/>
      <c r="H40" s="491"/>
      <c r="I40" s="491"/>
      <c r="J40" s="491"/>
      <c r="K40" s="711">
        <v>4</v>
      </c>
      <c r="L40" s="712"/>
    </row>
    <row r="41" spans="1:12" x14ac:dyDescent="0.25">
      <c r="A41" s="139"/>
      <c r="B41" s="140"/>
      <c r="C41" s="140"/>
      <c r="D41" s="141" t="s">
        <v>35</v>
      </c>
      <c r="E41" s="142"/>
      <c r="F41" s="143"/>
      <c r="G41" s="143"/>
      <c r="H41" s="182"/>
      <c r="I41" s="143"/>
      <c r="J41" s="133"/>
      <c r="K41" s="451">
        <v>19</v>
      </c>
      <c r="L41" s="475"/>
    </row>
    <row r="42" spans="1:12" x14ac:dyDescent="0.25">
      <c r="A42" s="139"/>
      <c r="B42" s="140"/>
      <c r="C42" s="140"/>
      <c r="D42" s="141" t="s">
        <v>36</v>
      </c>
      <c r="E42" s="142"/>
      <c r="F42" s="143"/>
      <c r="G42" s="143"/>
      <c r="H42" s="182"/>
      <c r="I42" s="143"/>
      <c r="J42" s="144"/>
      <c r="K42" s="452">
        <f>L27+L32+K41</f>
        <v>40</v>
      </c>
      <c r="L42" s="479"/>
    </row>
    <row r="43" spans="1:12" ht="17.25" thickBot="1" x14ac:dyDescent="0.3">
      <c r="A43" s="151" t="s">
        <v>37</v>
      </c>
      <c r="B43" s="152"/>
      <c r="C43" s="144"/>
      <c r="D43" s="137"/>
      <c r="E43" s="153"/>
      <c r="F43" s="137"/>
      <c r="G43" s="137"/>
      <c r="H43" s="187"/>
      <c r="I43" s="137"/>
      <c r="J43" s="137"/>
      <c r="K43" s="154"/>
      <c r="L43" s="155"/>
    </row>
    <row r="44" spans="1:12" x14ac:dyDescent="0.25">
      <c r="A44" s="446" t="s">
        <v>13</v>
      </c>
      <c r="B44" s="448" t="s">
        <v>14</v>
      </c>
      <c r="C44" s="449"/>
      <c r="D44" s="448" t="s">
        <v>15</v>
      </c>
      <c r="E44" s="448" t="s">
        <v>16</v>
      </c>
      <c r="F44" s="448" t="s">
        <v>17</v>
      </c>
      <c r="G44" s="448" t="s">
        <v>18</v>
      </c>
      <c r="H44" s="441" t="s">
        <v>19</v>
      </c>
      <c r="I44" s="49" t="s">
        <v>20</v>
      </c>
      <c r="J44" s="49" t="s">
        <v>20</v>
      </c>
      <c r="K44" s="49" t="s">
        <v>21</v>
      </c>
      <c r="L44" s="50" t="s">
        <v>22</v>
      </c>
    </row>
    <row r="45" spans="1:12" ht="15.75" thickBot="1" x14ac:dyDescent="0.3">
      <c r="A45" s="447"/>
      <c r="B45" s="442"/>
      <c r="C45" s="442"/>
      <c r="D45" s="442"/>
      <c r="E45" s="650"/>
      <c r="F45" s="442"/>
      <c r="G45" s="442"/>
      <c r="H45" s="442"/>
      <c r="I45" s="51" t="s">
        <v>23</v>
      </c>
      <c r="J45" s="51" t="s">
        <v>24</v>
      </c>
      <c r="K45" s="51" t="s">
        <v>25</v>
      </c>
      <c r="L45" s="52" t="s">
        <v>26</v>
      </c>
    </row>
    <row r="46" spans="1:12" s="80" customFormat="1" x14ac:dyDescent="0.25">
      <c r="A46" s="664" t="s">
        <v>119</v>
      </c>
      <c r="B46" s="699" t="s">
        <v>120</v>
      </c>
      <c r="C46" s="699"/>
      <c r="D46" s="219" t="s">
        <v>49</v>
      </c>
      <c r="E46" s="220" t="s">
        <v>79</v>
      </c>
      <c r="F46" s="426" t="s">
        <v>86</v>
      </c>
      <c r="G46" s="658" t="s">
        <v>171</v>
      </c>
      <c r="H46" s="657">
        <v>40</v>
      </c>
      <c r="I46" s="658"/>
      <c r="J46" s="658"/>
      <c r="K46" s="658"/>
      <c r="L46" s="656">
        <v>3</v>
      </c>
    </row>
    <row r="47" spans="1:12" s="80" customFormat="1" x14ac:dyDescent="0.25">
      <c r="A47" s="627"/>
      <c r="B47" s="661"/>
      <c r="C47" s="661"/>
      <c r="D47" s="213" t="s">
        <v>28</v>
      </c>
      <c r="E47" s="214" t="s">
        <v>92</v>
      </c>
      <c r="F47" s="424">
        <v>20</v>
      </c>
      <c r="G47" s="629"/>
      <c r="H47" s="658"/>
      <c r="I47" s="629"/>
      <c r="J47" s="629"/>
      <c r="K47" s="629"/>
      <c r="L47" s="632"/>
    </row>
    <row r="48" spans="1:12" s="53" customFormat="1" ht="30" customHeight="1" x14ac:dyDescent="0.25">
      <c r="A48" s="420" t="s">
        <v>117</v>
      </c>
      <c r="B48" s="621" t="s">
        <v>118</v>
      </c>
      <c r="C48" s="621"/>
      <c r="D48" s="126" t="s">
        <v>28</v>
      </c>
      <c r="E48" s="127" t="s">
        <v>92</v>
      </c>
      <c r="F48" s="418" t="s">
        <v>80</v>
      </c>
      <c r="G48" s="418" t="s">
        <v>185</v>
      </c>
      <c r="H48" s="418">
        <v>40</v>
      </c>
      <c r="I48" s="418">
        <v>3</v>
      </c>
      <c r="J48" s="418">
        <v>0</v>
      </c>
      <c r="K48" s="418">
        <v>3</v>
      </c>
      <c r="L48" s="419">
        <v>3</v>
      </c>
    </row>
    <row r="49" spans="1:12" s="111" customFormat="1" ht="29.25" customHeight="1" x14ac:dyDescent="0.25">
      <c r="A49" s="342" t="s">
        <v>117</v>
      </c>
      <c r="B49" s="621" t="s">
        <v>118</v>
      </c>
      <c r="C49" s="621"/>
      <c r="D49" s="343" t="s">
        <v>38</v>
      </c>
      <c r="E49" s="344" t="s">
        <v>282</v>
      </c>
      <c r="F49" s="422" t="s">
        <v>80</v>
      </c>
      <c r="G49" s="765" t="s">
        <v>179</v>
      </c>
      <c r="H49" s="422">
        <v>40</v>
      </c>
      <c r="I49" s="422">
        <v>3</v>
      </c>
      <c r="J49" s="422">
        <v>0</v>
      </c>
      <c r="K49" s="422">
        <v>3</v>
      </c>
      <c r="L49" s="764">
        <v>3</v>
      </c>
    </row>
    <row r="50" spans="1:12" s="111" customFormat="1" ht="26.25" customHeight="1" thickBot="1" x14ac:dyDescent="0.3">
      <c r="A50" s="412" t="s">
        <v>90</v>
      </c>
      <c r="B50" s="588" t="s">
        <v>91</v>
      </c>
      <c r="C50" s="588"/>
      <c r="D50" s="791" t="s">
        <v>89</v>
      </c>
      <c r="E50" s="125" t="s">
        <v>92</v>
      </c>
      <c r="F50" s="414" t="s">
        <v>80</v>
      </c>
      <c r="G50" s="414" t="s">
        <v>195</v>
      </c>
      <c r="H50" s="117">
        <v>40</v>
      </c>
      <c r="I50" s="414">
        <v>3</v>
      </c>
      <c r="J50" s="414">
        <v>0</v>
      </c>
      <c r="K50" s="414">
        <v>3</v>
      </c>
      <c r="L50" s="416">
        <v>3</v>
      </c>
    </row>
    <row r="51" spans="1:12" ht="14.25" customHeight="1" x14ac:dyDescent="0.25">
      <c r="A51" s="523"/>
      <c r="B51" s="431"/>
      <c r="C51" s="431"/>
      <c r="D51" s="4" t="s">
        <v>39</v>
      </c>
      <c r="E51" s="22"/>
      <c r="F51" s="21"/>
      <c r="G51" s="21"/>
      <c r="H51" s="176"/>
      <c r="I51" s="21"/>
      <c r="J51" s="21"/>
      <c r="K51" s="32">
        <f>SUM(K46:K50)</f>
        <v>9</v>
      </c>
      <c r="L51" s="32">
        <f>SUM(L46:L50)</f>
        <v>12</v>
      </c>
    </row>
    <row r="52" spans="1:12" ht="14.25" customHeight="1" x14ac:dyDescent="0.25">
      <c r="A52" s="20"/>
      <c r="B52" s="20"/>
      <c r="C52" s="20"/>
      <c r="D52" s="4" t="s">
        <v>40</v>
      </c>
      <c r="E52" s="25"/>
      <c r="F52" s="26"/>
      <c r="G52" s="26"/>
      <c r="H52" s="177"/>
      <c r="I52" s="26"/>
      <c r="J52" s="26"/>
      <c r="K52" s="32">
        <f>SUM(K27,K32,K51)</f>
        <v>27</v>
      </c>
      <c r="L52" s="32">
        <f>(L27+L32+K41+L51)</f>
        <v>52</v>
      </c>
    </row>
    <row r="53" spans="1:12" ht="3.75" customHeight="1" x14ac:dyDescent="0.25">
      <c r="A53" s="20"/>
      <c r="B53" s="20"/>
      <c r="C53" s="20"/>
      <c r="D53" s="4"/>
      <c r="E53" s="25"/>
      <c r="F53" s="26"/>
      <c r="G53" s="26"/>
      <c r="H53" s="177"/>
      <c r="I53" s="26"/>
      <c r="J53" s="26"/>
      <c r="K53" s="21"/>
      <c r="L53" s="21"/>
    </row>
    <row r="54" spans="1:12" ht="14.25" customHeight="1" x14ac:dyDescent="0.3">
      <c r="A54" s="440" t="s">
        <v>41</v>
      </c>
      <c r="B54" s="431"/>
      <c r="C54" s="431"/>
      <c r="D54" s="27"/>
      <c r="E54" s="27"/>
      <c r="F54" s="27"/>
      <c r="G54" s="27"/>
      <c r="H54" s="178" t="s">
        <v>42</v>
      </c>
      <c r="I54" s="6"/>
      <c r="J54" s="6"/>
      <c r="K54" s="6"/>
      <c r="L54" s="5"/>
    </row>
    <row r="55" spans="1:12" ht="14.25" customHeight="1" x14ac:dyDescent="0.25">
      <c r="A55" s="28"/>
      <c r="B55" s="28"/>
      <c r="C55" s="28"/>
      <c r="D55" s="20"/>
      <c r="E55" s="2"/>
      <c r="F55" s="20"/>
      <c r="G55" s="20"/>
      <c r="H55" s="179"/>
      <c r="I55" s="28"/>
      <c r="J55" s="28"/>
      <c r="K55" s="28"/>
      <c r="L55" s="28"/>
    </row>
    <row r="56" spans="1:12" ht="14.25" customHeight="1" x14ac:dyDescent="0.25">
      <c r="A56" s="432" t="s">
        <v>43</v>
      </c>
      <c r="B56" s="431"/>
      <c r="C56" s="431"/>
      <c r="D56" s="27"/>
      <c r="E56" s="27"/>
      <c r="F56" s="27"/>
      <c r="G56" s="27"/>
      <c r="H56" s="433" t="s">
        <v>44</v>
      </c>
      <c r="I56" s="434"/>
      <c r="J56" s="434"/>
      <c r="K56" s="434"/>
      <c r="L56" s="434"/>
    </row>
    <row r="57" spans="1:12" ht="14.25" customHeight="1" x14ac:dyDescent="0.25">
      <c r="A57" s="435" t="s">
        <v>45</v>
      </c>
      <c r="B57" s="431"/>
      <c r="C57" s="431"/>
      <c r="D57" s="27"/>
      <c r="E57" s="27"/>
      <c r="F57" s="27"/>
      <c r="G57" s="27"/>
      <c r="H57" s="435" t="s">
        <v>46</v>
      </c>
      <c r="I57" s="431"/>
      <c r="J57" s="431"/>
      <c r="K57" s="431"/>
      <c r="L57" s="431"/>
    </row>
    <row r="58" spans="1:12" ht="6" customHeight="1" x14ac:dyDescent="0.25">
      <c r="A58" s="20"/>
      <c r="B58" s="20"/>
      <c r="C58" s="20"/>
      <c r="D58" s="20"/>
      <c r="E58" s="2"/>
      <c r="F58" s="20"/>
      <c r="G58" s="20"/>
      <c r="H58" s="180"/>
      <c r="I58" s="20"/>
      <c r="J58" s="20"/>
      <c r="K58" s="20"/>
      <c r="L58" s="20"/>
    </row>
    <row r="59" spans="1:12" ht="18" customHeight="1" x14ac:dyDescent="0.25">
      <c r="A59" s="20"/>
      <c r="B59" s="20"/>
      <c r="D59" s="436" t="s">
        <v>192</v>
      </c>
      <c r="E59" s="437"/>
      <c r="F59" s="437"/>
      <c r="G59" s="437"/>
      <c r="H59" s="437"/>
      <c r="I59" s="437"/>
      <c r="J59" s="20"/>
      <c r="K59" s="20"/>
      <c r="L59" s="20"/>
    </row>
    <row r="60" spans="1:12" ht="14.25" customHeight="1" x14ac:dyDescent="0.25">
      <c r="C60" s="20"/>
      <c r="D60" s="433" t="s">
        <v>47</v>
      </c>
      <c r="E60" s="434"/>
      <c r="F60" s="434"/>
      <c r="G60" s="434"/>
      <c r="H60" s="434"/>
      <c r="I60" s="434"/>
      <c r="J60" s="20"/>
      <c r="K60" s="20"/>
      <c r="L60" s="20"/>
    </row>
    <row r="61" spans="1:12" ht="14.25" customHeight="1" x14ac:dyDescent="0.25">
      <c r="A61" s="10" t="s">
        <v>48</v>
      </c>
      <c r="B61" s="20"/>
      <c r="C61" s="20"/>
      <c r="D61" s="430"/>
      <c r="E61" s="431"/>
      <c r="F61" s="431"/>
      <c r="G61" s="431"/>
      <c r="H61" s="431"/>
      <c r="I61" s="431"/>
      <c r="J61" s="29"/>
      <c r="K61" s="20"/>
      <c r="L61" s="20"/>
    </row>
    <row r="62" spans="1:12" ht="2.25" customHeight="1" x14ac:dyDescent="0.25">
      <c r="A62" s="564"/>
      <c r="B62" s="431"/>
      <c r="C62" s="431"/>
      <c r="D62" s="39"/>
      <c r="E62" s="31"/>
      <c r="F62" s="39"/>
      <c r="G62" s="39"/>
      <c r="H62" s="181"/>
      <c r="I62" s="563"/>
      <c r="J62" s="431"/>
      <c r="K62" s="563"/>
      <c r="L62" s="431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  <row r="998" spans="5:5" ht="14.25" customHeight="1" x14ac:dyDescent="0.25">
      <c r="E998" s="2"/>
    </row>
    <row r="999" spans="5:5" ht="14.25" customHeight="1" x14ac:dyDescent="0.25">
      <c r="E999" s="2"/>
    </row>
    <row r="1000" spans="5:5" ht="14.25" customHeight="1" x14ac:dyDescent="0.25">
      <c r="E1000" s="2"/>
    </row>
    <row r="1001" spans="5:5" ht="14.25" customHeight="1" x14ac:dyDescent="0.25">
      <c r="E1001" s="2"/>
    </row>
    <row r="1002" spans="5:5" ht="14.25" customHeight="1" x14ac:dyDescent="0.25">
      <c r="E1002" s="2"/>
    </row>
    <row r="1003" spans="5:5" ht="14.25" customHeight="1" x14ac:dyDescent="0.25">
      <c r="E1003" s="2"/>
    </row>
  </sheetData>
  <mergeCells count="102">
    <mergeCell ref="A7:L7"/>
    <mergeCell ref="A2:L2"/>
    <mergeCell ref="A3:L3"/>
    <mergeCell ref="A4:L4"/>
    <mergeCell ref="A5:L5"/>
    <mergeCell ref="A6:L6"/>
    <mergeCell ref="K34:L35"/>
    <mergeCell ref="B27:C27"/>
    <mergeCell ref="A29:A30"/>
    <mergeCell ref="B29:C30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B18:C18"/>
    <mergeCell ref="B19:C19"/>
    <mergeCell ref="B20:C20"/>
    <mergeCell ref="D29:D30"/>
    <mergeCell ref="E29:G30"/>
    <mergeCell ref="H29:H30"/>
    <mergeCell ref="A31:C31"/>
    <mergeCell ref="E31:G31"/>
    <mergeCell ref="A34:C35"/>
    <mergeCell ref="D34:F35"/>
    <mergeCell ref="G34:J35"/>
    <mergeCell ref="K40:L40"/>
    <mergeCell ref="K37:L37"/>
    <mergeCell ref="K39:L39"/>
    <mergeCell ref="D36:F36"/>
    <mergeCell ref="A44:A45"/>
    <mergeCell ref="B48:C48"/>
    <mergeCell ref="B49:C49"/>
    <mergeCell ref="A46:A47"/>
    <mergeCell ref="L46:L47"/>
    <mergeCell ref="G36:J40"/>
    <mergeCell ref="K36:L36"/>
    <mergeCell ref="A38:C38"/>
    <mergeCell ref="D38:F38"/>
    <mergeCell ref="K38:L38"/>
    <mergeCell ref="A40:C40"/>
    <mergeCell ref="A36:C36"/>
    <mergeCell ref="H46:H47"/>
    <mergeCell ref="A37:C37"/>
    <mergeCell ref="D37:F37"/>
    <mergeCell ref="D40:F40"/>
    <mergeCell ref="D39:F39"/>
    <mergeCell ref="A39:C39"/>
    <mergeCell ref="B44:C45"/>
    <mergeCell ref="D44:D45"/>
    <mergeCell ref="E44:E45"/>
    <mergeCell ref="F44:F45"/>
    <mergeCell ref="B50:C50"/>
    <mergeCell ref="G44:G45"/>
    <mergeCell ref="H44:H45"/>
    <mergeCell ref="K46:K47"/>
    <mergeCell ref="K42:L42"/>
    <mergeCell ref="K41:L41"/>
    <mergeCell ref="G46:G47"/>
    <mergeCell ref="I46:I47"/>
    <mergeCell ref="J46:J47"/>
    <mergeCell ref="B46:C47"/>
    <mergeCell ref="K62:L62"/>
    <mergeCell ref="A51:C51"/>
    <mergeCell ref="A54:C54"/>
    <mergeCell ref="A56:C56"/>
    <mergeCell ref="H56:L56"/>
    <mergeCell ref="A57:C57"/>
    <mergeCell ref="H57:L57"/>
    <mergeCell ref="D59:I59"/>
    <mergeCell ref="D60:I60"/>
    <mergeCell ref="D61:I61"/>
    <mergeCell ref="A62:C62"/>
    <mergeCell ref="I62:J62"/>
    <mergeCell ref="L25:L26"/>
    <mergeCell ref="I25:I26"/>
    <mergeCell ref="J25:J26"/>
    <mergeCell ref="K25:K26"/>
    <mergeCell ref="G25:G26"/>
    <mergeCell ref="H25:H26"/>
    <mergeCell ref="L21:L22"/>
    <mergeCell ref="A23:A24"/>
    <mergeCell ref="I23:I24"/>
    <mergeCell ref="J23:J24"/>
    <mergeCell ref="K23:K24"/>
    <mergeCell ref="G23:G24"/>
    <mergeCell ref="B23:C24"/>
    <mergeCell ref="L23:L24"/>
    <mergeCell ref="A21:A22"/>
    <mergeCell ref="I21:I22"/>
    <mergeCell ref="J21:J22"/>
    <mergeCell ref="K21:K22"/>
    <mergeCell ref="G21:G22"/>
    <mergeCell ref="B21:C22"/>
    <mergeCell ref="H21:H22"/>
    <mergeCell ref="H23:H24"/>
    <mergeCell ref="A25:A26"/>
    <mergeCell ref="B25:C26"/>
  </mergeCells>
  <pageMargins left="0.5" right="0.25" top="0.25" bottom="0.25" header="0" footer="0"/>
  <pageSetup paperSize="5" scale="8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003"/>
  <sheetViews>
    <sheetView topLeftCell="A34" zoomScaleNormal="100" workbookViewId="0">
      <selection activeCell="O51" sqref="O51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63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thickBot="1" x14ac:dyDescent="0.3">
      <c r="A17" s="486"/>
      <c r="B17" s="489"/>
      <c r="C17" s="489"/>
      <c r="D17" s="489"/>
      <c r="E17" s="489"/>
      <c r="F17" s="489"/>
      <c r="G17" s="489"/>
      <c r="H17" s="442"/>
      <c r="I17" s="76" t="s">
        <v>23</v>
      </c>
      <c r="J17" s="76" t="s">
        <v>24</v>
      </c>
      <c r="K17" s="76" t="s">
        <v>25</v>
      </c>
      <c r="L17" s="77" t="s">
        <v>26</v>
      </c>
    </row>
    <row r="18" spans="1:12" ht="14.25" customHeight="1" x14ac:dyDescent="0.25">
      <c r="A18" s="511" t="s">
        <v>113</v>
      </c>
      <c r="B18" s="623" t="s">
        <v>114</v>
      </c>
      <c r="C18" s="623"/>
      <c r="D18" s="113" t="s">
        <v>27</v>
      </c>
      <c r="E18" s="114" t="s">
        <v>81</v>
      </c>
      <c r="F18" s="112" t="s">
        <v>102</v>
      </c>
      <c r="G18" s="513" t="s">
        <v>185</v>
      </c>
      <c r="H18" s="112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12" ht="14.25" customHeight="1" x14ac:dyDescent="0.25">
      <c r="A19" s="511"/>
      <c r="B19" s="623"/>
      <c r="C19" s="623"/>
      <c r="D19" s="113" t="s">
        <v>38</v>
      </c>
      <c r="E19" s="115" t="s">
        <v>107</v>
      </c>
      <c r="F19" s="112" t="s">
        <v>102</v>
      </c>
      <c r="G19" s="513"/>
      <c r="H19" s="112">
        <v>40</v>
      </c>
      <c r="I19" s="513"/>
      <c r="J19" s="513"/>
      <c r="K19" s="513"/>
      <c r="L19" s="514"/>
    </row>
    <row r="20" spans="1:12" ht="14.25" customHeight="1" x14ac:dyDescent="0.25">
      <c r="A20" s="511" t="s">
        <v>113</v>
      </c>
      <c r="B20" s="623" t="s">
        <v>114</v>
      </c>
      <c r="C20" s="623"/>
      <c r="D20" s="113" t="s">
        <v>27</v>
      </c>
      <c r="E20" s="114" t="s">
        <v>82</v>
      </c>
      <c r="F20" s="112" t="s">
        <v>102</v>
      </c>
      <c r="G20" s="513" t="s">
        <v>184</v>
      </c>
      <c r="H20" s="112">
        <v>40</v>
      </c>
      <c r="I20" s="513">
        <v>2</v>
      </c>
      <c r="J20" s="513">
        <v>1</v>
      </c>
      <c r="K20" s="513">
        <v>3</v>
      </c>
      <c r="L20" s="514">
        <v>5</v>
      </c>
    </row>
    <row r="21" spans="1:12" ht="14.25" customHeight="1" x14ac:dyDescent="0.25">
      <c r="A21" s="511"/>
      <c r="B21" s="623"/>
      <c r="C21" s="623"/>
      <c r="D21" s="113" t="s">
        <v>50</v>
      </c>
      <c r="E21" s="189" t="s">
        <v>137</v>
      </c>
      <c r="F21" s="112" t="s">
        <v>102</v>
      </c>
      <c r="G21" s="513"/>
      <c r="H21" s="112">
        <v>40</v>
      </c>
      <c r="I21" s="513"/>
      <c r="J21" s="513"/>
      <c r="K21" s="513"/>
      <c r="L21" s="514"/>
    </row>
    <row r="22" spans="1:12" ht="14.25" customHeight="1" x14ac:dyDescent="0.25">
      <c r="A22" s="511" t="s">
        <v>113</v>
      </c>
      <c r="B22" s="623" t="s">
        <v>114</v>
      </c>
      <c r="C22" s="623"/>
      <c r="D22" s="113" t="s">
        <v>38</v>
      </c>
      <c r="E22" s="114" t="s">
        <v>105</v>
      </c>
      <c r="F22" s="379" t="s">
        <v>106</v>
      </c>
      <c r="G22" s="513" t="s">
        <v>183</v>
      </c>
      <c r="H22" s="379">
        <v>40</v>
      </c>
      <c r="I22" s="513">
        <v>2</v>
      </c>
      <c r="J22" s="513">
        <v>1</v>
      </c>
      <c r="K22" s="513">
        <v>3</v>
      </c>
      <c r="L22" s="514">
        <v>5</v>
      </c>
    </row>
    <row r="23" spans="1:12" ht="14.25" customHeight="1" x14ac:dyDescent="0.25">
      <c r="A23" s="511"/>
      <c r="B23" s="623"/>
      <c r="C23" s="623"/>
      <c r="D23" s="113" t="s">
        <v>28</v>
      </c>
      <c r="E23" s="114" t="s">
        <v>105</v>
      </c>
      <c r="F23" s="379" t="s">
        <v>106</v>
      </c>
      <c r="G23" s="513"/>
      <c r="H23" s="379">
        <v>40</v>
      </c>
      <c r="I23" s="513"/>
      <c r="J23" s="513"/>
      <c r="K23" s="513"/>
      <c r="L23" s="514"/>
    </row>
    <row r="24" spans="1:12" s="99" customFormat="1" ht="14.25" customHeight="1" x14ac:dyDescent="0.25">
      <c r="A24" s="511" t="s">
        <v>113</v>
      </c>
      <c r="B24" s="623" t="s">
        <v>114</v>
      </c>
      <c r="C24" s="623"/>
      <c r="D24" s="113" t="s">
        <v>50</v>
      </c>
      <c r="E24" s="114" t="s">
        <v>79</v>
      </c>
      <c r="F24" s="112" t="s">
        <v>106</v>
      </c>
      <c r="G24" s="513" t="s">
        <v>179</v>
      </c>
      <c r="H24" s="112">
        <v>40</v>
      </c>
      <c r="I24" s="513">
        <v>2</v>
      </c>
      <c r="J24" s="513">
        <v>1</v>
      </c>
      <c r="K24" s="513">
        <v>3</v>
      </c>
      <c r="L24" s="514">
        <v>5</v>
      </c>
    </row>
    <row r="25" spans="1:12" s="99" customFormat="1" ht="14.25" customHeight="1" x14ac:dyDescent="0.25">
      <c r="A25" s="511"/>
      <c r="B25" s="623"/>
      <c r="C25" s="623"/>
      <c r="D25" s="113" t="s">
        <v>28</v>
      </c>
      <c r="E25" s="114" t="s">
        <v>107</v>
      </c>
      <c r="F25" s="112" t="s">
        <v>106</v>
      </c>
      <c r="G25" s="513"/>
      <c r="H25" s="112">
        <v>40</v>
      </c>
      <c r="I25" s="513"/>
      <c r="J25" s="513"/>
      <c r="K25" s="513"/>
      <c r="L25" s="514"/>
    </row>
    <row r="26" spans="1:12" s="99" customFormat="1" ht="14.25" customHeight="1" x14ac:dyDescent="0.25">
      <c r="A26" s="554" t="s">
        <v>113</v>
      </c>
      <c r="B26" s="717" t="s">
        <v>114</v>
      </c>
      <c r="C26" s="717"/>
      <c r="D26" s="119" t="s">
        <v>50</v>
      </c>
      <c r="E26" s="120" t="s">
        <v>82</v>
      </c>
      <c r="F26" s="121" t="s">
        <v>106</v>
      </c>
      <c r="G26" s="553" t="s">
        <v>186</v>
      </c>
      <c r="H26" s="121">
        <v>40</v>
      </c>
      <c r="I26" s="553">
        <v>2</v>
      </c>
      <c r="J26" s="553">
        <v>1</v>
      </c>
      <c r="K26" s="553">
        <v>3</v>
      </c>
      <c r="L26" s="556">
        <v>1</v>
      </c>
    </row>
    <row r="27" spans="1:12" s="99" customFormat="1" ht="14.25" customHeight="1" thickBot="1" x14ac:dyDescent="0.3">
      <c r="A27" s="606"/>
      <c r="B27" s="718"/>
      <c r="C27" s="718"/>
      <c r="D27" s="159" t="s">
        <v>28</v>
      </c>
      <c r="E27" s="160" t="s">
        <v>87</v>
      </c>
      <c r="F27" s="161" t="s">
        <v>106</v>
      </c>
      <c r="G27" s="605"/>
      <c r="H27" s="161">
        <v>40</v>
      </c>
      <c r="I27" s="605"/>
      <c r="J27" s="605"/>
      <c r="K27" s="605"/>
      <c r="L27" s="609"/>
    </row>
    <row r="28" spans="1:12" ht="14.25" customHeight="1" x14ac:dyDescent="0.25">
      <c r="B28" s="523"/>
      <c r="C28" s="431"/>
      <c r="E28" s="4" t="s">
        <v>29</v>
      </c>
      <c r="F28" s="10"/>
      <c r="G28" s="10"/>
      <c r="H28" s="173"/>
      <c r="I28" s="11"/>
      <c r="J28" s="11"/>
      <c r="K28" s="12">
        <f>SUM(K18:K27)</f>
        <v>15</v>
      </c>
      <c r="L28" s="12">
        <f>SUM(L18:L27)</f>
        <v>21</v>
      </c>
    </row>
    <row r="29" spans="1:12" ht="14.25" customHeight="1" thickBot="1" x14ac:dyDescent="0.3">
      <c r="A29" s="7" t="s">
        <v>30</v>
      </c>
      <c r="B29" s="8"/>
      <c r="E29" s="2"/>
    </row>
    <row r="30" spans="1:12" ht="14.25" customHeight="1" x14ac:dyDescent="0.25">
      <c r="A30" s="524" t="s">
        <v>13</v>
      </c>
      <c r="B30" s="526" t="s">
        <v>14</v>
      </c>
      <c r="C30" s="527"/>
      <c r="D30" s="528" t="s">
        <v>15</v>
      </c>
      <c r="E30" s="526" t="s">
        <v>16</v>
      </c>
      <c r="F30" s="503"/>
      <c r="G30" s="527"/>
      <c r="H30" s="530" t="s">
        <v>19</v>
      </c>
      <c r="I30" s="13" t="s">
        <v>20</v>
      </c>
      <c r="J30" s="13" t="s">
        <v>20</v>
      </c>
      <c r="K30" s="13" t="s">
        <v>21</v>
      </c>
      <c r="L30" s="14" t="s">
        <v>22</v>
      </c>
    </row>
    <row r="31" spans="1:12" ht="14.25" customHeight="1" x14ac:dyDescent="0.25">
      <c r="A31" s="525"/>
      <c r="B31" s="482"/>
      <c r="C31" s="472"/>
      <c r="D31" s="529"/>
      <c r="E31" s="482"/>
      <c r="F31" s="437"/>
      <c r="G31" s="472"/>
      <c r="H31" s="531"/>
      <c r="I31" s="15" t="s">
        <v>23</v>
      </c>
      <c r="J31" s="15" t="s">
        <v>24</v>
      </c>
      <c r="K31" s="15" t="s">
        <v>25</v>
      </c>
      <c r="L31" s="16" t="s">
        <v>26</v>
      </c>
    </row>
    <row r="32" spans="1:12" ht="14.25" customHeight="1" thickBot="1" x14ac:dyDescent="0.3">
      <c r="A32" s="636"/>
      <c r="B32" s="642"/>
      <c r="C32" s="643"/>
      <c r="D32" s="58"/>
      <c r="E32" s="644"/>
      <c r="F32" s="501"/>
      <c r="G32" s="645"/>
      <c r="H32" s="184"/>
      <c r="I32" s="58"/>
      <c r="J32" s="58"/>
      <c r="K32" s="58"/>
      <c r="L32" s="46"/>
    </row>
    <row r="33" spans="1:12" ht="14.25" customHeight="1" x14ac:dyDescent="0.25">
      <c r="D33" s="10" t="s">
        <v>31</v>
      </c>
      <c r="E33" s="17"/>
      <c r="F33" s="11"/>
      <c r="G33" s="11"/>
      <c r="H33" s="173"/>
      <c r="I33" s="11"/>
      <c r="K33" s="32">
        <f t="shared" ref="K33:L33" si="0">SUM(K32)</f>
        <v>0</v>
      </c>
      <c r="L33" s="32">
        <f t="shared" si="0"/>
        <v>0</v>
      </c>
    </row>
    <row r="34" spans="1:12" ht="14.25" customHeight="1" thickBot="1" x14ac:dyDescent="0.3">
      <c r="A34" s="7" t="s">
        <v>32</v>
      </c>
      <c r="B34" s="18"/>
      <c r="C34" s="19"/>
      <c r="D34" s="19"/>
      <c r="E34" s="2"/>
      <c r="F34" s="19"/>
      <c r="G34" s="19"/>
      <c r="H34" s="175"/>
      <c r="I34" s="19"/>
      <c r="J34" s="19"/>
      <c r="K34" s="19"/>
      <c r="L34" s="19"/>
    </row>
    <row r="35" spans="1:12" ht="14.25" customHeight="1" x14ac:dyDescent="0.25">
      <c r="A35" s="492" t="s">
        <v>15</v>
      </c>
      <c r="B35" s="493"/>
      <c r="C35" s="494"/>
      <c r="D35" s="480" t="s">
        <v>16</v>
      </c>
      <c r="E35" s="493"/>
      <c r="F35" s="494"/>
      <c r="G35" s="480" t="s">
        <v>33</v>
      </c>
      <c r="H35" s="493"/>
      <c r="I35" s="493"/>
      <c r="J35" s="494"/>
      <c r="K35" s="480" t="s">
        <v>34</v>
      </c>
      <c r="L35" s="481"/>
    </row>
    <row r="36" spans="1:12" ht="14.25" customHeight="1" thickBot="1" x14ac:dyDescent="0.3">
      <c r="A36" s="538"/>
      <c r="B36" s="458"/>
      <c r="C36" s="459"/>
      <c r="D36" s="521"/>
      <c r="E36" s="458"/>
      <c r="F36" s="459"/>
      <c r="G36" s="521"/>
      <c r="H36" s="458"/>
      <c r="I36" s="458"/>
      <c r="J36" s="459"/>
      <c r="K36" s="521"/>
      <c r="L36" s="522"/>
    </row>
    <row r="37" spans="1:12" s="79" customFormat="1" ht="14.25" customHeight="1" x14ac:dyDescent="0.25">
      <c r="A37" s="471" t="s">
        <v>49</v>
      </c>
      <c r="B37" s="437"/>
      <c r="C37" s="472"/>
      <c r="D37" s="473" t="s">
        <v>259</v>
      </c>
      <c r="E37" s="437"/>
      <c r="F37" s="472"/>
      <c r="G37" s="465" t="s">
        <v>75</v>
      </c>
      <c r="H37" s="466"/>
      <c r="I37" s="466"/>
      <c r="J37" s="467"/>
      <c r="K37" s="474">
        <v>7</v>
      </c>
      <c r="L37" s="475"/>
    </row>
    <row r="38" spans="1:12" ht="14.25" customHeight="1" x14ac:dyDescent="0.25">
      <c r="A38" s="476" t="s">
        <v>27</v>
      </c>
      <c r="B38" s="453"/>
      <c r="C38" s="477"/>
      <c r="D38" s="539" t="s">
        <v>258</v>
      </c>
      <c r="E38" s="453"/>
      <c r="F38" s="477"/>
      <c r="G38" s="465"/>
      <c r="H38" s="466"/>
      <c r="I38" s="466"/>
      <c r="J38" s="467"/>
      <c r="K38" s="478">
        <v>5</v>
      </c>
      <c r="L38" s="479"/>
    </row>
    <row r="39" spans="1:12" s="79" customFormat="1" ht="14.25" customHeight="1" x14ac:dyDescent="0.25">
      <c r="A39" s="476" t="s">
        <v>38</v>
      </c>
      <c r="B39" s="453"/>
      <c r="C39" s="477"/>
      <c r="D39" s="539" t="s">
        <v>258</v>
      </c>
      <c r="E39" s="453"/>
      <c r="F39" s="477"/>
      <c r="G39" s="465"/>
      <c r="H39" s="466"/>
      <c r="I39" s="466"/>
      <c r="J39" s="467"/>
      <c r="K39" s="478">
        <v>5</v>
      </c>
      <c r="L39" s="479"/>
    </row>
    <row r="40" spans="1:12" ht="15.75" thickBot="1" x14ac:dyDescent="0.3">
      <c r="A40" s="454" t="s">
        <v>50</v>
      </c>
      <c r="B40" s="455"/>
      <c r="C40" s="456"/>
      <c r="D40" s="542" t="s">
        <v>260</v>
      </c>
      <c r="E40" s="455"/>
      <c r="F40" s="456"/>
      <c r="G40" s="468"/>
      <c r="H40" s="469"/>
      <c r="I40" s="469"/>
      <c r="J40" s="470"/>
      <c r="K40" s="460">
        <v>2</v>
      </c>
      <c r="L40" s="461"/>
    </row>
    <row r="41" spans="1:12" ht="15.75" thickBot="1" x14ac:dyDescent="0.3">
      <c r="A41" s="56"/>
      <c r="B41" s="56"/>
      <c r="C41" s="56"/>
      <c r="D41" s="10" t="s">
        <v>35</v>
      </c>
      <c r="E41" s="17"/>
      <c r="F41" s="11"/>
      <c r="G41" s="11"/>
      <c r="H41" s="173"/>
      <c r="I41" s="11"/>
      <c r="J41" s="20"/>
      <c r="K41" s="652">
        <f>SUM(K37:L40)</f>
        <v>19</v>
      </c>
      <c r="L41" s="573"/>
    </row>
    <row r="42" spans="1:12" x14ac:dyDescent="0.25">
      <c r="A42" s="146"/>
      <c r="B42" s="147"/>
      <c r="C42" s="147"/>
      <c r="D42" s="148" t="s">
        <v>36</v>
      </c>
      <c r="E42" s="149"/>
      <c r="F42" s="150"/>
      <c r="G42" s="150"/>
      <c r="H42" s="186"/>
      <c r="I42" s="150"/>
      <c r="J42" s="44"/>
      <c r="K42" s="715">
        <f>L28+L33+K41</f>
        <v>40</v>
      </c>
      <c r="L42" s="716"/>
    </row>
    <row r="43" spans="1:12" ht="17.25" thickBot="1" x14ac:dyDescent="0.3">
      <c r="A43" s="151" t="s">
        <v>37</v>
      </c>
      <c r="B43" s="152"/>
      <c r="C43" s="144"/>
      <c r="D43" s="137"/>
      <c r="E43" s="153"/>
      <c r="F43" s="137"/>
      <c r="G43" s="137"/>
      <c r="H43" s="187"/>
      <c r="I43" s="137"/>
      <c r="J43" s="137"/>
      <c r="K43" s="154"/>
      <c r="L43" s="155"/>
    </row>
    <row r="44" spans="1:12" x14ac:dyDescent="0.25">
      <c r="A44" s="446" t="s">
        <v>13</v>
      </c>
      <c r="B44" s="448" t="s">
        <v>14</v>
      </c>
      <c r="C44" s="449"/>
      <c r="D44" s="448" t="s">
        <v>15</v>
      </c>
      <c r="E44" s="448" t="s">
        <v>16</v>
      </c>
      <c r="F44" s="448" t="s">
        <v>17</v>
      </c>
      <c r="G44" s="448" t="s">
        <v>18</v>
      </c>
      <c r="H44" s="441" t="s">
        <v>19</v>
      </c>
      <c r="I44" s="49" t="s">
        <v>20</v>
      </c>
      <c r="J44" s="49" t="s">
        <v>20</v>
      </c>
      <c r="K44" s="49" t="s">
        <v>21</v>
      </c>
      <c r="L44" s="50" t="s">
        <v>22</v>
      </c>
    </row>
    <row r="45" spans="1:12" ht="15.75" thickBot="1" x14ac:dyDescent="0.3">
      <c r="A45" s="447"/>
      <c r="B45" s="442"/>
      <c r="C45" s="442"/>
      <c r="D45" s="442"/>
      <c r="E45" s="650"/>
      <c r="F45" s="442"/>
      <c r="G45" s="442"/>
      <c r="H45" s="442"/>
      <c r="I45" s="51" t="s">
        <v>23</v>
      </c>
      <c r="J45" s="51" t="s">
        <v>24</v>
      </c>
      <c r="K45" s="51" t="s">
        <v>25</v>
      </c>
      <c r="L45" s="52" t="s">
        <v>26</v>
      </c>
    </row>
    <row r="46" spans="1:12" x14ac:dyDescent="0.25">
      <c r="A46" s="554" t="s">
        <v>113</v>
      </c>
      <c r="B46" s="717" t="s">
        <v>114</v>
      </c>
      <c r="C46" s="717"/>
      <c r="D46" s="119" t="s">
        <v>50</v>
      </c>
      <c r="E46" s="120" t="s">
        <v>82</v>
      </c>
      <c r="F46" s="121" t="s">
        <v>106</v>
      </c>
      <c r="G46" s="553" t="s">
        <v>186</v>
      </c>
      <c r="H46" s="121">
        <v>40</v>
      </c>
      <c r="I46" s="553"/>
      <c r="J46" s="553"/>
      <c r="K46" s="553"/>
      <c r="L46" s="556">
        <v>4</v>
      </c>
    </row>
    <row r="47" spans="1:12" x14ac:dyDescent="0.25">
      <c r="A47" s="554"/>
      <c r="B47" s="717"/>
      <c r="C47" s="717"/>
      <c r="D47" s="119" t="s">
        <v>28</v>
      </c>
      <c r="E47" s="120" t="s">
        <v>87</v>
      </c>
      <c r="F47" s="121" t="s">
        <v>106</v>
      </c>
      <c r="G47" s="553"/>
      <c r="H47" s="121">
        <v>40</v>
      </c>
      <c r="I47" s="553"/>
      <c r="J47" s="553"/>
      <c r="K47" s="553"/>
      <c r="L47" s="556"/>
    </row>
    <row r="48" spans="1:12" s="99" customFormat="1" x14ac:dyDescent="0.25">
      <c r="A48" s="511" t="s">
        <v>121</v>
      </c>
      <c r="B48" s="623" t="s">
        <v>122</v>
      </c>
      <c r="C48" s="623"/>
      <c r="D48" s="113" t="s">
        <v>49</v>
      </c>
      <c r="E48" s="114" t="s">
        <v>81</v>
      </c>
      <c r="F48" s="118" t="s">
        <v>110</v>
      </c>
      <c r="G48" s="513" t="s">
        <v>174</v>
      </c>
      <c r="H48" s="118">
        <v>40</v>
      </c>
      <c r="I48" s="513">
        <v>2</v>
      </c>
      <c r="J48" s="513">
        <v>1</v>
      </c>
      <c r="K48" s="513">
        <v>3</v>
      </c>
      <c r="L48" s="514">
        <v>5</v>
      </c>
    </row>
    <row r="49" spans="1:12" s="99" customFormat="1" ht="14.25" customHeight="1" x14ac:dyDescent="0.25">
      <c r="A49" s="511"/>
      <c r="B49" s="623"/>
      <c r="C49" s="623"/>
      <c r="D49" s="113" t="s">
        <v>27</v>
      </c>
      <c r="E49" s="114" t="s">
        <v>123</v>
      </c>
      <c r="F49" s="118">
        <v>20</v>
      </c>
      <c r="G49" s="513"/>
      <c r="H49" s="118">
        <v>40</v>
      </c>
      <c r="I49" s="513"/>
      <c r="J49" s="513"/>
      <c r="K49" s="513"/>
      <c r="L49" s="514"/>
    </row>
    <row r="50" spans="1:12" s="99" customFormat="1" ht="24" customHeight="1" thickBot="1" x14ac:dyDescent="0.3">
      <c r="A50" s="378" t="s">
        <v>117</v>
      </c>
      <c r="B50" s="622" t="s">
        <v>118</v>
      </c>
      <c r="C50" s="622"/>
      <c r="D50" s="124" t="s">
        <v>49</v>
      </c>
      <c r="E50" s="125" t="s">
        <v>92</v>
      </c>
      <c r="F50" s="380" t="s">
        <v>80</v>
      </c>
      <c r="G50" s="380" t="s">
        <v>184</v>
      </c>
      <c r="H50" s="380">
        <v>40</v>
      </c>
      <c r="I50" s="380">
        <v>3</v>
      </c>
      <c r="J50" s="380">
        <v>0</v>
      </c>
      <c r="K50" s="380">
        <v>3</v>
      </c>
      <c r="L50" s="381">
        <v>3</v>
      </c>
    </row>
    <row r="51" spans="1:12" x14ac:dyDescent="0.25">
      <c r="A51" s="523"/>
      <c r="B51" s="431"/>
      <c r="C51" s="431"/>
      <c r="D51" s="4" t="s">
        <v>39</v>
      </c>
      <c r="E51" s="22"/>
      <c r="F51" s="21"/>
      <c r="G51" s="21"/>
      <c r="H51" s="176"/>
      <c r="I51" s="21"/>
      <c r="J51" s="21"/>
      <c r="K51" s="32">
        <f>SUM(K46:K50)</f>
        <v>6</v>
      </c>
      <c r="L51" s="32">
        <f>SUM(L46:L50)</f>
        <v>12</v>
      </c>
    </row>
    <row r="52" spans="1:12" ht="14.25" customHeight="1" x14ac:dyDescent="0.25">
      <c r="A52" s="20"/>
      <c r="B52" s="20"/>
      <c r="C52" s="20"/>
      <c r="D52" s="4" t="s">
        <v>40</v>
      </c>
      <c r="E52" s="25"/>
      <c r="F52" s="26"/>
      <c r="G52" s="26"/>
      <c r="H52" s="177"/>
      <c r="I52" s="26"/>
      <c r="J52" s="26"/>
      <c r="K52" s="32">
        <f>SUM(K28,K33,K51)</f>
        <v>21</v>
      </c>
      <c r="L52" s="32">
        <f>(L28+L33+K41+L51)</f>
        <v>52</v>
      </c>
    </row>
    <row r="53" spans="1:12" ht="3.75" customHeight="1" x14ac:dyDescent="0.25">
      <c r="A53" s="20"/>
      <c r="B53" s="20"/>
      <c r="C53" s="20"/>
      <c r="D53" s="4"/>
      <c r="E53" s="25"/>
      <c r="F53" s="26"/>
      <c r="G53" s="26"/>
      <c r="H53" s="177"/>
      <c r="I53" s="26"/>
      <c r="J53" s="26"/>
      <c r="K53" s="21"/>
      <c r="L53" s="21"/>
    </row>
    <row r="54" spans="1:12" ht="14.25" customHeight="1" x14ac:dyDescent="0.3">
      <c r="A54" s="440" t="s">
        <v>41</v>
      </c>
      <c r="B54" s="431"/>
      <c r="C54" s="431"/>
      <c r="D54" s="27"/>
      <c r="E54" s="27"/>
      <c r="F54" s="27"/>
      <c r="G54" s="27"/>
      <c r="H54" s="178" t="s">
        <v>42</v>
      </c>
      <c r="I54" s="6"/>
      <c r="J54" s="6"/>
      <c r="K54" s="6"/>
      <c r="L54" s="5"/>
    </row>
    <row r="55" spans="1:12" ht="14.25" customHeight="1" x14ac:dyDescent="0.25">
      <c r="A55" s="28"/>
      <c r="B55" s="28"/>
      <c r="C55" s="28"/>
      <c r="D55" s="20"/>
      <c r="E55" s="2"/>
      <c r="F55" s="20"/>
      <c r="G55" s="20"/>
      <c r="H55" s="179"/>
      <c r="I55" s="28"/>
      <c r="J55" s="28"/>
      <c r="K55" s="28"/>
      <c r="L55" s="28"/>
    </row>
    <row r="56" spans="1:12" ht="14.25" customHeight="1" x14ac:dyDescent="0.25">
      <c r="A56" s="432" t="s">
        <v>43</v>
      </c>
      <c r="B56" s="431"/>
      <c r="C56" s="431"/>
      <c r="D56" s="27"/>
      <c r="E56" s="27"/>
      <c r="F56" s="27"/>
      <c r="G56" s="27"/>
      <c r="H56" s="433" t="s">
        <v>44</v>
      </c>
      <c r="I56" s="434"/>
      <c r="J56" s="434"/>
      <c r="K56" s="434"/>
      <c r="L56" s="434"/>
    </row>
    <row r="57" spans="1:12" ht="14.25" customHeight="1" x14ac:dyDescent="0.25">
      <c r="A57" s="435" t="s">
        <v>45</v>
      </c>
      <c r="B57" s="431"/>
      <c r="C57" s="431"/>
      <c r="D57" s="27"/>
      <c r="E57" s="27"/>
      <c r="F57" s="27"/>
      <c r="G57" s="27"/>
      <c r="H57" s="435" t="s">
        <v>46</v>
      </c>
      <c r="I57" s="431"/>
      <c r="J57" s="431"/>
      <c r="K57" s="431"/>
      <c r="L57" s="431"/>
    </row>
    <row r="58" spans="1:12" ht="6" customHeight="1" x14ac:dyDescent="0.25">
      <c r="A58" s="20"/>
      <c r="B58" s="20"/>
      <c r="C58" s="20"/>
      <c r="D58" s="20"/>
      <c r="E58" s="2"/>
      <c r="F58" s="20"/>
      <c r="G58" s="20"/>
      <c r="H58" s="180"/>
      <c r="I58" s="20"/>
      <c r="J58" s="20"/>
      <c r="K58" s="20"/>
      <c r="L58" s="20"/>
    </row>
    <row r="59" spans="1:12" ht="18" customHeight="1" x14ac:dyDescent="0.25">
      <c r="A59" s="20"/>
      <c r="B59" s="20"/>
      <c r="D59" s="436" t="s">
        <v>192</v>
      </c>
      <c r="E59" s="437"/>
      <c r="F59" s="437"/>
      <c r="G59" s="437"/>
      <c r="H59" s="437"/>
      <c r="I59" s="437"/>
      <c r="J59" s="20"/>
      <c r="K59" s="20"/>
      <c r="L59" s="20"/>
    </row>
    <row r="60" spans="1:12" ht="14.25" customHeight="1" x14ac:dyDescent="0.25">
      <c r="C60" s="20"/>
      <c r="D60" s="433" t="s">
        <v>47</v>
      </c>
      <c r="E60" s="434"/>
      <c r="F60" s="434"/>
      <c r="G60" s="434"/>
      <c r="H60" s="434"/>
      <c r="I60" s="434"/>
      <c r="J60" s="20"/>
      <c r="K60" s="20"/>
      <c r="L60" s="20"/>
    </row>
    <row r="61" spans="1:12" ht="14.25" customHeight="1" x14ac:dyDescent="0.25">
      <c r="A61" s="10" t="s">
        <v>48</v>
      </c>
      <c r="B61" s="20"/>
      <c r="C61" s="20"/>
      <c r="D61" s="430"/>
      <c r="E61" s="431"/>
      <c r="F61" s="431"/>
      <c r="G61" s="431"/>
      <c r="H61" s="431"/>
      <c r="I61" s="431"/>
      <c r="J61" s="29"/>
      <c r="K61" s="20"/>
      <c r="L61" s="20"/>
    </row>
    <row r="62" spans="1:12" ht="2.25" customHeight="1" x14ac:dyDescent="0.25">
      <c r="A62" s="564"/>
      <c r="B62" s="431"/>
      <c r="C62" s="431"/>
      <c r="D62" s="54"/>
      <c r="E62" s="31"/>
      <c r="F62" s="54"/>
      <c r="G62" s="54"/>
      <c r="H62" s="181"/>
      <c r="I62" s="563"/>
      <c r="J62" s="431"/>
      <c r="K62" s="563"/>
      <c r="L62" s="431"/>
    </row>
    <row r="63" spans="1:12" ht="14.25" customHeight="1" x14ac:dyDescent="0.25">
      <c r="E63" s="2"/>
    </row>
    <row r="64" spans="1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  <row r="998" spans="5:5" ht="14.25" customHeight="1" x14ac:dyDescent="0.25">
      <c r="E998" s="2"/>
    </row>
    <row r="999" spans="5:5" ht="14.25" customHeight="1" x14ac:dyDescent="0.25">
      <c r="E999" s="2"/>
    </row>
    <row r="1000" spans="5:5" ht="14.25" customHeight="1" x14ac:dyDescent="0.25">
      <c r="E1000" s="2"/>
    </row>
    <row r="1001" spans="5:5" ht="14.25" customHeight="1" x14ac:dyDescent="0.25">
      <c r="E1001" s="2"/>
    </row>
    <row r="1002" spans="5:5" ht="14.25" customHeight="1" x14ac:dyDescent="0.25">
      <c r="E1002" s="2"/>
    </row>
    <row r="1003" spans="5:5" ht="14.25" customHeight="1" x14ac:dyDescent="0.25">
      <c r="E1003" s="2"/>
    </row>
  </sheetData>
  <mergeCells count="111">
    <mergeCell ref="A48:A49"/>
    <mergeCell ref="B48:C49"/>
    <mergeCell ref="G48:G49"/>
    <mergeCell ref="I48:I49"/>
    <mergeCell ref="J48:J49"/>
    <mergeCell ref="K48:K49"/>
    <mergeCell ref="L48:L49"/>
    <mergeCell ref="B50:C50"/>
    <mergeCell ref="L24:L25"/>
    <mergeCell ref="B24:C25"/>
    <mergeCell ref="G24:G25"/>
    <mergeCell ref="A24:A25"/>
    <mergeCell ref="I24:I25"/>
    <mergeCell ref="J24:J25"/>
    <mergeCell ref="K24:K25"/>
    <mergeCell ref="L26:L27"/>
    <mergeCell ref="G26:G27"/>
    <mergeCell ref="A26:A27"/>
    <mergeCell ref="I26:I27"/>
    <mergeCell ref="J26:J27"/>
    <mergeCell ref="K26:K27"/>
    <mergeCell ref="B26:C27"/>
    <mergeCell ref="A37:C37"/>
    <mergeCell ref="D37:F37"/>
    <mergeCell ref="J46:J47"/>
    <mergeCell ref="K46:K47"/>
    <mergeCell ref="L46:L47"/>
    <mergeCell ref="H44:H45"/>
    <mergeCell ref="A46:A47"/>
    <mergeCell ref="B46:C47"/>
    <mergeCell ref="G46:G47"/>
    <mergeCell ref="I46:I47"/>
    <mergeCell ref="A44:A45"/>
    <mergeCell ref="B44:C45"/>
    <mergeCell ref="D44:D45"/>
    <mergeCell ref="E44:E45"/>
    <mergeCell ref="F44:F45"/>
    <mergeCell ref="G44:G45"/>
    <mergeCell ref="D61:I61"/>
    <mergeCell ref="A62:C62"/>
    <mergeCell ref="I62:J62"/>
    <mergeCell ref="K62:L62"/>
    <mergeCell ref="A51:C51"/>
    <mergeCell ref="A54:C54"/>
    <mergeCell ref="A56:C56"/>
    <mergeCell ref="H56:L56"/>
    <mergeCell ref="A57:C57"/>
    <mergeCell ref="H57:L57"/>
    <mergeCell ref="D59:I59"/>
    <mergeCell ref="D60:I60"/>
    <mergeCell ref="K41:L41"/>
    <mergeCell ref="K42:L42"/>
    <mergeCell ref="A38:C38"/>
    <mergeCell ref="D38:F38"/>
    <mergeCell ref="K38:L38"/>
    <mergeCell ref="A40:C40"/>
    <mergeCell ref="D40:F40"/>
    <mergeCell ref="K40:L40"/>
    <mergeCell ref="G37:J40"/>
    <mergeCell ref="K37:L37"/>
    <mergeCell ref="A39:C39"/>
    <mergeCell ref="D39:F39"/>
    <mergeCell ref="K39:L39"/>
    <mergeCell ref="A32:C32"/>
    <mergeCell ref="E32:G32"/>
    <mergeCell ref="A35:C36"/>
    <mergeCell ref="D35:F36"/>
    <mergeCell ref="G35:J36"/>
    <mergeCell ref="K35:L36"/>
    <mergeCell ref="B28:C28"/>
    <mergeCell ref="A30:A31"/>
    <mergeCell ref="B30:C31"/>
    <mergeCell ref="D30:D31"/>
    <mergeCell ref="E30:G31"/>
    <mergeCell ref="H30:H31"/>
    <mergeCell ref="K20:K21"/>
    <mergeCell ref="L20:L21"/>
    <mergeCell ref="A18:A19"/>
    <mergeCell ref="B18:C19"/>
    <mergeCell ref="G18:G19"/>
    <mergeCell ref="I18:I19"/>
    <mergeCell ref="J18:J19"/>
    <mergeCell ref="K22:K23"/>
    <mergeCell ref="L22:L23"/>
    <mergeCell ref="A22:A23"/>
    <mergeCell ref="B22:C23"/>
    <mergeCell ref="G22:G23"/>
    <mergeCell ref="I22:I23"/>
    <mergeCell ref="J22:J23"/>
    <mergeCell ref="K18:K19"/>
    <mergeCell ref="L18:L19"/>
    <mergeCell ref="A20:A21"/>
    <mergeCell ref="B20:C21"/>
    <mergeCell ref="G20:G21"/>
    <mergeCell ref="I20:I21"/>
    <mergeCell ref="J20:J21"/>
    <mergeCell ref="A2:L2"/>
    <mergeCell ref="A3:L3"/>
    <mergeCell ref="A4:L4"/>
    <mergeCell ref="A5:L5"/>
    <mergeCell ref="A6:L6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</mergeCells>
  <pageMargins left="0.5" right="0.25" top="0.25" bottom="0.25" header="0" footer="0"/>
  <pageSetup paperSize="5" scale="8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999"/>
  <sheetViews>
    <sheetView topLeftCell="A37" zoomScaleNormal="100" workbookViewId="0">
      <selection activeCell="P48" sqref="P48"/>
    </sheetView>
  </sheetViews>
  <sheetFormatPr defaultColWidth="14.42578125" defaultRowHeight="15" customHeight="1" x14ac:dyDescent="0.25"/>
  <cols>
    <col min="1" max="1" width="10" style="53" customWidth="1"/>
    <col min="2" max="2" width="8.85546875" style="53" customWidth="1"/>
    <col min="3" max="3" width="16.7109375" style="53" customWidth="1"/>
    <col min="4" max="4" width="8" style="53" customWidth="1"/>
    <col min="5" max="5" width="16.85546875" style="53" customWidth="1"/>
    <col min="6" max="6" width="9.7109375" style="53" customWidth="1"/>
    <col min="7" max="7" width="10" style="53" customWidth="1"/>
    <col min="8" max="8" width="9.42578125" style="86" customWidth="1"/>
    <col min="9" max="12" width="5.85546875" style="53" customWidth="1"/>
    <col min="13" max="26" width="8.85546875" style="53" customWidth="1"/>
    <col min="27" max="16384" width="14.42578125" style="53"/>
  </cols>
  <sheetData>
    <row r="1" spans="1:12" ht="14.25" customHeight="1" x14ac:dyDescent="0.25">
      <c r="A1" s="5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55"/>
      <c r="B8" s="55"/>
      <c r="C8" s="55"/>
      <c r="D8" s="55"/>
      <c r="E8" s="4"/>
      <c r="F8" s="55"/>
      <c r="G8" s="55"/>
      <c r="H8" s="98"/>
      <c r="I8" s="55"/>
      <c r="J8" s="55"/>
      <c r="K8" s="55"/>
      <c r="L8" s="55"/>
    </row>
    <row r="9" spans="1:12" ht="20.25" customHeight="1" x14ac:dyDescent="0.3">
      <c r="A9" s="496" t="s">
        <v>66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485" t="s">
        <v>13</v>
      </c>
      <c r="B16" s="487" t="s">
        <v>14</v>
      </c>
      <c r="C16" s="488"/>
      <c r="D16" s="487" t="s">
        <v>15</v>
      </c>
      <c r="E16" s="487" t="s">
        <v>16</v>
      </c>
      <c r="F16" s="448" t="s">
        <v>17</v>
      </c>
      <c r="G16" s="448" t="s">
        <v>18</v>
      </c>
      <c r="H16" s="441" t="s">
        <v>19</v>
      </c>
      <c r="I16" s="74" t="s">
        <v>20</v>
      </c>
      <c r="J16" s="74" t="s">
        <v>20</v>
      </c>
      <c r="K16" s="74" t="s">
        <v>21</v>
      </c>
      <c r="L16" s="75" t="s">
        <v>22</v>
      </c>
    </row>
    <row r="17" spans="1:12" ht="14.25" customHeight="1" x14ac:dyDescent="0.25">
      <c r="A17" s="504"/>
      <c r="B17" s="505"/>
      <c r="C17" s="505"/>
      <c r="D17" s="505"/>
      <c r="E17" s="505"/>
      <c r="F17" s="505"/>
      <c r="G17" s="505"/>
      <c r="H17" s="506"/>
      <c r="I17" s="89" t="s">
        <v>23</v>
      </c>
      <c r="J17" s="89" t="s">
        <v>24</v>
      </c>
      <c r="K17" s="89" t="s">
        <v>25</v>
      </c>
      <c r="L17" s="90" t="s">
        <v>26</v>
      </c>
    </row>
    <row r="18" spans="1:12" ht="14.25" customHeight="1" x14ac:dyDescent="0.25">
      <c r="A18" s="93" t="s">
        <v>143</v>
      </c>
      <c r="B18" s="719" t="s">
        <v>144</v>
      </c>
      <c r="C18" s="719"/>
      <c r="D18" s="237" t="s">
        <v>95</v>
      </c>
      <c r="E18" s="235" t="s">
        <v>145</v>
      </c>
      <c r="F18" s="237" t="s">
        <v>80</v>
      </c>
      <c r="G18" s="238" t="s">
        <v>180</v>
      </c>
      <c r="H18" s="207">
        <v>40</v>
      </c>
      <c r="I18" s="207">
        <v>3</v>
      </c>
      <c r="J18" s="207">
        <v>0</v>
      </c>
      <c r="K18" s="82">
        <v>1</v>
      </c>
      <c r="L18" s="208">
        <v>3</v>
      </c>
    </row>
    <row r="19" spans="1:12" ht="14.25" customHeight="1" x14ac:dyDescent="0.25">
      <c r="A19" s="93" t="s">
        <v>143</v>
      </c>
      <c r="B19" s="719" t="s">
        <v>144</v>
      </c>
      <c r="C19" s="719"/>
      <c r="D19" s="237" t="s">
        <v>97</v>
      </c>
      <c r="E19" s="235" t="s">
        <v>146</v>
      </c>
      <c r="F19" s="237" t="s">
        <v>80</v>
      </c>
      <c r="G19" s="238" t="s">
        <v>181</v>
      </c>
      <c r="H19" s="207">
        <v>40</v>
      </c>
      <c r="I19" s="207">
        <v>3</v>
      </c>
      <c r="J19" s="207">
        <v>0</v>
      </c>
      <c r="K19" s="82">
        <v>1</v>
      </c>
      <c r="L19" s="208">
        <v>3</v>
      </c>
    </row>
    <row r="20" spans="1:12" ht="14.25" customHeight="1" x14ac:dyDescent="0.25">
      <c r="A20" s="93" t="s">
        <v>143</v>
      </c>
      <c r="B20" s="719" t="s">
        <v>144</v>
      </c>
      <c r="C20" s="719"/>
      <c r="D20" s="237" t="s">
        <v>95</v>
      </c>
      <c r="E20" s="235" t="s">
        <v>147</v>
      </c>
      <c r="F20" s="237" t="s">
        <v>80</v>
      </c>
      <c r="G20" s="238" t="s">
        <v>182</v>
      </c>
      <c r="H20" s="207">
        <v>40</v>
      </c>
      <c r="I20" s="207">
        <v>3</v>
      </c>
      <c r="J20" s="207">
        <v>0</v>
      </c>
      <c r="K20" s="82">
        <v>1</v>
      </c>
      <c r="L20" s="208">
        <v>3</v>
      </c>
    </row>
    <row r="21" spans="1:12" ht="14.25" customHeight="1" x14ac:dyDescent="0.25">
      <c r="A21" s="93" t="s">
        <v>143</v>
      </c>
      <c r="B21" s="719" t="s">
        <v>144</v>
      </c>
      <c r="C21" s="719"/>
      <c r="D21" s="237" t="s">
        <v>95</v>
      </c>
      <c r="E21" s="235" t="s">
        <v>98</v>
      </c>
      <c r="F21" s="237" t="s">
        <v>80</v>
      </c>
      <c r="G21" s="238" t="s">
        <v>178</v>
      </c>
      <c r="H21" s="207">
        <v>40</v>
      </c>
      <c r="I21" s="207">
        <v>3</v>
      </c>
      <c r="J21" s="207">
        <v>0</v>
      </c>
      <c r="K21" s="82">
        <v>1</v>
      </c>
      <c r="L21" s="208">
        <v>3</v>
      </c>
    </row>
    <row r="22" spans="1:12" ht="14.25" customHeight="1" x14ac:dyDescent="0.25">
      <c r="A22" s="93" t="s">
        <v>149</v>
      </c>
      <c r="B22" s="719" t="s">
        <v>148</v>
      </c>
      <c r="C22" s="719"/>
      <c r="D22" s="237" t="s">
        <v>97</v>
      </c>
      <c r="E22" s="235" t="s">
        <v>147</v>
      </c>
      <c r="F22" s="237" t="s">
        <v>80</v>
      </c>
      <c r="G22" s="238" t="s">
        <v>178</v>
      </c>
      <c r="H22" s="207">
        <v>40</v>
      </c>
      <c r="I22" s="207">
        <v>3</v>
      </c>
      <c r="J22" s="207">
        <v>0</v>
      </c>
      <c r="K22" s="82">
        <v>1</v>
      </c>
      <c r="L22" s="208">
        <v>3</v>
      </c>
    </row>
    <row r="23" spans="1:12" ht="14.25" customHeight="1" x14ac:dyDescent="0.25">
      <c r="A23" s="93" t="s">
        <v>149</v>
      </c>
      <c r="B23" s="719" t="s">
        <v>148</v>
      </c>
      <c r="C23" s="719"/>
      <c r="D23" s="237" t="s">
        <v>97</v>
      </c>
      <c r="E23" s="235" t="s">
        <v>98</v>
      </c>
      <c r="F23" s="237" t="s">
        <v>80</v>
      </c>
      <c r="G23" s="238" t="s">
        <v>181</v>
      </c>
      <c r="H23" s="207">
        <v>40</v>
      </c>
      <c r="I23" s="207">
        <v>3</v>
      </c>
      <c r="J23" s="207">
        <v>0</v>
      </c>
      <c r="K23" s="82">
        <v>1</v>
      </c>
      <c r="L23" s="208">
        <v>3</v>
      </c>
    </row>
    <row r="24" spans="1:12" ht="14.25" customHeight="1" thickBot="1" x14ac:dyDescent="0.3">
      <c r="A24" s="94" t="s">
        <v>149</v>
      </c>
      <c r="B24" s="720" t="s">
        <v>148</v>
      </c>
      <c r="C24" s="720"/>
      <c r="D24" s="91" t="s">
        <v>95</v>
      </c>
      <c r="E24" s="236" t="s">
        <v>150</v>
      </c>
      <c r="F24" s="91" t="s">
        <v>80</v>
      </c>
      <c r="G24" s="239" t="s">
        <v>180</v>
      </c>
      <c r="H24" s="209">
        <v>40</v>
      </c>
      <c r="I24" s="209">
        <v>3</v>
      </c>
      <c r="J24" s="209">
        <v>0</v>
      </c>
      <c r="K24" s="83">
        <v>1</v>
      </c>
      <c r="L24" s="212">
        <v>3</v>
      </c>
    </row>
    <row r="25" spans="1:12" ht="14.25" customHeight="1" x14ac:dyDescent="0.25">
      <c r="B25" s="523"/>
      <c r="C25" s="431"/>
      <c r="E25" s="4" t="s">
        <v>29</v>
      </c>
      <c r="F25" s="10"/>
      <c r="G25" s="10"/>
      <c r="H25" s="173"/>
      <c r="I25" s="11"/>
      <c r="J25" s="11"/>
      <c r="K25" s="12">
        <f>SUM(K18:K24)</f>
        <v>7</v>
      </c>
      <c r="L25" s="12">
        <f>SUM(L18:L24)</f>
        <v>21</v>
      </c>
    </row>
    <row r="26" spans="1:12" ht="14.25" customHeight="1" thickBot="1" x14ac:dyDescent="0.3">
      <c r="A26" s="7" t="s">
        <v>30</v>
      </c>
      <c r="B26" s="8"/>
      <c r="E26" s="2"/>
    </row>
    <row r="27" spans="1:12" ht="14.25" customHeight="1" x14ac:dyDescent="0.25">
      <c r="A27" s="524" t="s">
        <v>13</v>
      </c>
      <c r="B27" s="526" t="s">
        <v>14</v>
      </c>
      <c r="C27" s="527"/>
      <c r="D27" s="528" t="s">
        <v>15</v>
      </c>
      <c r="E27" s="526" t="s">
        <v>16</v>
      </c>
      <c r="F27" s="503"/>
      <c r="G27" s="527"/>
      <c r="H27" s="530" t="s">
        <v>19</v>
      </c>
      <c r="I27" s="13" t="s">
        <v>20</v>
      </c>
      <c r="J27" s="13" t="s">
        <v>20</v>
      </c>
      <c r="K27" s="13" t="s">
        <v>21</v>
      </c>
      <c r="L27" s="14" t="s">
        <v>22</v>
      </c>
    </row>
    <row r="28" spans="1:12" ht="14.25" customHeight="1" x14ac:dyDescent="0.25">
      <c r="A28" s="525"/>
      <c r="B28" s="482"/>
      <c r="C28" s="472"/>
      <c r="D28" s="529"/>
      <c r="E28" s="482"/>
      <c r="F28" s="437"/>
      <c r="G28" s="472"/>
      <c r="H28" s="531"/>
      <c r="I28" s="15" t="s">
        <v>23</v>
      </c>
      <c r="J28" s="15" t="s">
        <v>24</v>
      </c>
      <c r="K28" s="15" t="s">
        <v>25</v>
      </c>
      <c r="L28" s="16" t="s">
        <v>26</v>
      </c>
    </row>
    <row r="29" spans="1:12" ht="14.25" customHeight="1" thickBot="1" x14ac:dyDescent="0.3">
      <c r="A29" s="636"/>
      <c r="B29" s="642"/>
      <c r="C29" s="643"/>
      <c r="D29" s="58"/>
      <c r="E29" s="644"/>
      <c r="F29" s="501"/>
      <c r="G29" s="645"/>
      <c r="H29" s="184"/>
      <c r="I29" s="58"/>
      <c r="J29" s="58"/>
      <c r="K29" s="58"/>
      <c r="L29" s="59"/>
    </row>
    <row r="30" spans="1:12" ht="14.25" customHeight="1" x14ac:dyDescent="0.25">
      <c r="D30" s="10" t="s">
        <v>31</v>
      </c>
      <c r="E30" s="17"/>
      <c r="F30" s="11"/>
      <c r="G30" s="11"/>
      <c r="H30" s="173"/>
      <c r="I30" s="11"/>
      <c r="K30" s="32">
        <f t="shared" ref="K30:L30" si="0">SUM(K29)</f>
        <v>0</v>
      </c>
      <c r="L30" s="32">
        <f t="shared" si="0"/>
        <v>0</v>
      </c>
    </row>
    <row r="31" spans="1:12" ht="14.25" customHeight="1" thickBot="1" x14ac:dyDescent="0.3">
      <c r="A31" s="7" t="s">
        <v>32</v>
      </c>
      <c r="B31" s="18"/>
      <c r="C31" s="19"/>
      <c r="D31" s="19"/>
      <c r="E31" s="2"/>
      <c r="F31" s="19"/>
      <c r="G31" s="19"/>
      <c r="H31" s="175"/>
      <c r="I31" s="19"/>
      <c r="J31" s="19"/>
      <c r="K31" s="19"/>
      <c r="L31" s="19"/>
    </row>
    <row r="32" spans="1:12" ht="14.25" customHeight="1" x14ac:dyDescent="0.25">
      <c r="A32" s="485" t="s">
        <v>15</v>
      </c>
      <c r="B32" s="488"/>
      <c r="C32" s="488"/>
      <c r="D32" s="487" t="s">
        <v>16</v>
      </c>
      <c r="E32" s="488"/>
      <c r="F32" s="488"/>
      <c r="G32" s="487" t="s">
        <v>33</v>
      </c>
      <c r="H32" s="488"/>
      <c r="I32" s="488"/>
      <c r="J32" s="488"/>
      <c r="K32" s="487" t="s">
        <v>34</v>
      </c>
      <c r="L32" s="714"/>
    </row>
    <row r="33" spans="1:13" ht="14.25" customHeight="1" x14ac:dyDescent="0.25">
      <c r="A33" s="504"/>
      <c r="B33" s="505"/>
      <c r="C33" s="505"/>
      <c r="D33" s="505"/>
      <c r="E33" s="505"/>
      <c r="F33" s="505"/>
      <c r="G33" s="505"/>
      <c r="H33" s="505"/>
      <c r="I33" s="505"/>
      <c r="J33" s="505"/>
      <c r="K33" s="505"/>
      <c r="L33" s="706"/>
    </row>
    <row r="34" spans="1:13" ht="14.25" customHeight="1" x14ac:dyDescent="0.25">
      <c r="A34" s="703" t="s">
        <v>28</v>
      </c>
      <c r="B34" s="505"/>
      <c r="C34" s="505"/>
      <c r="D34" s="704" t="s">
        <v>72</v>
      </c>
      <c r="E34" s="505"/>
      <c r="F34" s="505"/>
      <c r="G34" s="700" t="s">
        <v>75</v>
      </c>
      <c r="H34" s="700"/>
      <c r="I34" s="700"/>
      <c r="J34" s="700"/>
      <c r="K34" s="705">
        <v>6</v>
      </c>
      <c r="L34" s="706"/>
    </row>
    <row r="35" spans="1:13" s="79" customFormat="1" ht="14.25" customHeight="1" x14ac:dyDescent="0.25">
      <c r="A35" s="703" t="s">
        <v>49</v>
      </c>
      <c r="B35" s="505"/>
      <c r="C35" s="505"/>
      <c r="D35" s="704" t="s">
        <v>73</v>
      </c>
      <c r="E35" s="505"/>
      <c r="F35" s="505"/>
      <c r="G35" s="700"/>
      <c r="H35" s="700"/>
      <c r="I35" s="700"/>
      <c r="J35" s="700"/>
      <c r="K35" s="705">
        <v>4</v>
      </c>
      <c r="L35" s="706"/>
    </row>
    <row r="36" spans="1:13" s="79" customFormat="1" ht="14.25" customHeight="1" x14ac:dyDescent="0.25">
      <c r="A36" s="703" t="s">
        <v>27</v>
      </c>
      <c r="B36" s="505"/>
      <c r="C36" s="505"/>
      <c r="D36" s="704" t="s">
        <v>73</v>
      </c>
      <c r="E36" s="505"/>
      <c r="F36" s="505"/>
      <c r="G36" s="700"/>
      <c r="H36" s="700"/>
      <c r="I36" s="700"/>
      <c r="J36" s="700"/>
      <c r="K36" s="705">
        <v>4</v>
      </c>
      <c r="L36" s="706"/>
    </row>
    <row r="37" spans="1:13" ht="14.25" customHeight="1" x14ac:dyDescent="0.25">
      <c r="A37" s="703" t="s">
        <v>38</v>
      </c>
      <c r="B37" s="505"/>
      <c r="C37" s="505"/>
      <c r="D37" s="704" t="s">
        <v>74</v>
      </c>
      <c r="E37" s="505"/>
      <c r="F37" s="505"/>
      <c r="G37" s="700"/>
      <c r="H37" s="700"/>
      <c r="I37" s="700"/>
      <c r="J37" s="700"/>
      <c r="K37" s="705">
        <v>1</v>
      </c>
      <c r="L37" s="706"/>
    </row>
    <row r="38" spans="1:13" ht="13.5" customHeight="1" thickBot="1" x14ac:dyDescent="0.3">
      <c r="A38" s="707" t="s">
        <v>50</v>
      </c>
      <c r="B38" s="489"/>
      <c r="C38" s="489"/>
      <c r="D38" s="710" t="s">
        <v>73</v>
      </c>
      <c r="E38" s="489"/>
      <c r="F38" s="489"/>
      <c r="G38" s="491"/>
      <c r="H38" s="491"/>
      <c r="I38" s="491"/>
      <c r="J38" s="491"/>
      <c r="K38" s="711">
        <v>4</v>
      </c>
      <c r="L38" s="712"/>
    </row>
    <row r="39" spans="1:13" ht="14.25" customHeight="1" x14ac:dyDescent="0.25">
      <c r="A39" s="139"/>
      <c r="B39" s="140"/>
      <c r="C39" s="140"/>
      <c r="D39" s="141" t="s">
        <v>35</v>
      </c>
      <c r="E39" s="142"/>
      <c r="F39" s="143"/>
      <c r="G39" s="143"/>
      <c r="H39" s="182"/>
      <c r="I39" s="143"/>
      <c r="J39" s="133"/>
      <c r="K39" s="451">
        <v>19</v>
      </c>
      <c r="L39" s="475"/>
    </row>
    <row r="40" spans="1:13" x14ac:dyDescent="0.25">
      <c r="A40" s="139"/>
      <c r="B40" s="140"/>
      <c r="C40" s="140"/>
      <c r="D40" s="141" t="s">
        <v>36</v>
      </c>
      <c r="E40" s="142"/>
      <c r="F40" s="143"/>
      <c r="G40" s="143"/>
      <c r="H40" s="182"/>
      <c r="I40" s="143"/>
      <c r="J40" s="144"/>
      <c r="K40" s="452">
        <f>L25+L30+K39</f>
        <v>40</v>
      </c>
      <c r="L40" s="479"/>
    </row>
    <row r="41" spans="1:13" ht="17.25" thickBot="1" x14ac:dyDescent="0.3">
      <c r="A41" s="151" t="s">
        <v>37</v>
      </c>
      <c r="B41" s="152"/>
      <c r="C41" s="202"/>
      <c r="D41" s="137"/>
      <c r="E41" s="153"/>
      <c r="F41" s="137"/>
      <c r="G41" s="137"/>
      <c r="H41" s="187"/>
      <c r="I41" s="137"/>
      <c r="J41" s="137"/>
      <c r="K41" s="154"/>
      <c r="L41" s="155"/>
    </row>
    <row r="42" spans="1:13" x14ac:dyDescent="0.25">
      <c r="A42" s="485" t="s">
        <v>13</v>
      </c>
      <c r="B42" s="487" t="s">
        <v>14</v>
      </c>
      <c r="C42" s="488"/>
      <c r="D42" s="487" t="s">
        <v>15</v>
      </c>
      <c r="E42" s="487" t="s">
        <v>16</v>
      </c>
      <c r="F42" s="448" t="s">
        <v>17</v>
      </c>
      <c r="G42" s="448" t="s">
        <v>18</v>
      </c>
      <c r="H42" s="441" t="s">
        <v>19</v>
      </c>
      <c r="I42" s="74" t="s">
        <v>20</v>
      </c>
      <c r="J42" s="74" t="s">
        <v>20</v>
      </c>
      <c r="K42" s="74" t="s">
        <v>21</v>
      </c>
      <c r="L42" s="75" t="s">
        <v>22</v>
      </c>
    </row>
    <row r="43" spans="1:13" ht="15.75" thickBot="1" x14ac:dyDescent="0.3">
      <c r="A43" s="486"/>
      <c r="B43" s="489"/>
      <c r="C43" s="489"/>
      <c r="D43" s="489"/>
      <c r="E43" s="489"/>
      <c r="F43" s="489"/>
      <c r="G43" s="489"/>
      <c r="H43" s="442"/>
      <c r="I43" s="76" t="s">
        <v>23</v>
      </c>
      <c r="J43" s="76" t="s">
        <v>24</v>
      </c>
      <c r="K43" s="76" t="s">
        <v>25</v>
      </c>
      <c r="L43" s="77" t="s">
        <v>26</v>
      </c>
    </row>
    <row r="44" spans="1:13" s="338" customFormat="1" x14ac:dyDescent="0.25">
      <c r="A44" s="373" t="s">
        <v>149</v>
      </c>
      <c r="B44" s="723" t="s">
        <v>148</v>
      </c>
      <c r="C44" s="723"/>
      <c r="D44" s="372" t="s">
        <v>97</v>
      </c>
      <c r="E44" s="371" t="s">
        <v>238</v>
      </c>
      <c r="F44" s="372" t="s">
        <v>182</v>
      </c>
      <c r="G44" s="237" t="s">
        <v>80</v>
      </c>
      <c r="H44" s="237" t="s">
        <v>80</v>
      </c>
      <c r="I44" s="237">
        <v>3</v>
      </c>
      <c r="J44" s="237">
        <v>0</v>
      </c>
      <c r="K44" s="371">
        <v>1</v>
      </c>
      <c r="L44" s="370">
        <v>3</v>
      </c>
    </row>
    <row r="45" spans="1:13" s="86" customFormat="1" ht="27.75" customHeight="1" x14ac:dyDescent="0.25">
      <c r="A45" s="251" t="s">
        <v>131</v>
      </c>
      <c r="B45" s="722" t="s">
        <v>153</v>
      </c>
      <c r="C45" s="722"/>
      <c r="D45" s="252" t="s">
        <v>95</v>
      </c>
      <c r="E45" s="253" t="s">
        <v>152</v>
      </c>
      <c r="F45" s="252">
        <v>22</v>
      </c>
      <c r="G45" s="252" t="s">
        <v>151</v>
      </c>
      <c r="H45" s="252">
        <v>40</v>
      </c>
      <c r="I45" s="252">
        <v>3</v>
      </c>
      <c r="J45" s="252">
        <v>0</v>
      </c>
      <c r="K45" s="252">
        <v>3</v>
      </c>
      <c r="L45" s="254">
        <v>3</v>
      </c>
      <c r="M45" s="244"/>
    </row>
    <row r="46" spans="1:13" s="86" customFormat="1" ht="28.5" customHeight="1" thickBot="1" x14ac:dyDescent="0.3">
      <c r="A46" s="256" t="s">
        <v>131</v>
      </c>
      <c r="B46" s="721" t="s">
        <v>153</v>
      </c>
      <c r="C46" s="721"/>
      <c r="D46" s="793" t="s">
        <v>95</v>
      </c>
      <c r="E46" s="248" t="s">
        <v>167</v>
      </c>
      <c r="F46" s="211">
        <v>25</v>
      </c>
      <c r="G46" s="211" t="s">
        <v>168</v>
      </c>
      <c r="H46" s="211">
        <v>40</v>
      </c>
      <c r="I46" s="211">
        <v>3</v>
      </c>
      <c r="J46" s="211">
        <v>0</v>
      </c>
      <c r="K46" s="211">
        <v>3</v>
      </c>
      <c r="L46" s="249">
        <v>3</v>
      </c>
      <c r="M46" s="244"/>
    </row>
    <row r="47" spans="1:13" x14ac:dyDescent="0.25">
      <c r="A47" s="523"/>
      <c r="B47" s="431"/>
      <c r="C47" s="431"/>
      <c r="D47" s="4" t="s">
        <v>39</v>
      </c>
      <c r="E47" s="22"/>
      <c r="F47" s="21"/>
      <c r="G47" s="21"/>
      <c r="H47" s="176"/>
      <c r="I47" s="21"/>
      <c r="J47" s="21"/>
      <c r="K47" s="32">
        <f>SUM(K44:K46)</f>
        <v>7</v>
      </c>
      <c r="L47" s="32">
        <f>SUM(L44:L46)</f>
        <v>9</v>
      </c>
    </row>
    <row r="48" spans="1:13" x14ac:dyDescent="0.25">
      <c r="A48" s="20"/>
      <c r="B48" s="20"/>
      <c r="C48" s="20"/>
      <c r="D48" s="4" t="s">
        <v>40</v>
      </c>
      <c r="E48" s="25"/>
      <c r="F48" s="26"/>
      <c r="G48" s="26"/>
      <c r="H48" s="177"/>
      <c r="I48" s="26"/>
      <c r="J48" s="26"/>
      <c r="K48" s="32">
        <f>SUM(K25,K30,K47)</f>
        <v>14</v>
      </c>
      <c r="L48" s="32">
        <f>(L25+L30+K39+L47)</f>
        <v>49</v>
      </c>
    </row>
    <row r="49" spans="1:12" x14ac:dyDescent="0.25">
      <c r="A49" s="20"/>
      <c r="B49" s="20"/>
      <c r="C49" s="20"/>
      <c r="D49" s="4"/>
      <c r="E49" s="25"/>
      <c r="F49" s="26"/>
      <c r="G49" s="26"/>
      <c r="H49" s="177"/>
      <c r="I49" s="26"/>
      <c r="J49" s="26"/>
      <c r="K49" s="21"/>
      <c r="L49" s="21"/>
    </row>
    <row r="50" spans="1:12" ht="16.5" x14ac:dyDescent="0.3">
      <c r="A50" s="440" t="s">
        <v>41</v>
      </c>
      <c r="B50" s="431"/>
      <c r="C50" s="431"/>
      <c r="D50" s="27"/>
      <c r="E50" s="27"/>
      <c r="F50" s="27"/>
      <c r="G50" s="27"/>
      <c r="H50" s="178" t="s">
        <v>42</v>
      </c>
      <c r="I50" s="6"/>
      <c r="J50" s="6"/>
      <c r="K50" s="6"/>
      <c r="L50" s="5"/>
    </row>
    <row r="51" spans="1:12" ht="14.25" customHeight="1" x14ac:dyDescent="0.25">
      <c r="A51" s="28"/>
      <c r="B51" s="28"/>
      <c r="C51" s="28"/>
      <c r="D51" s="20"/>
      <c r="E51" s="2"/>
      <c r="F51" s="20"/>
      <c r="G51" s="20"/>
      <c r="H51" s="179"/>
      <c r="I51" s="28"/>
      <c r="J51" s="28"/>
      <c r="K51" s="28"/>
      <c r="L51" s="28"/>
    </row>
    <row r="52" spans="1:12" ht="14.25" customHeight="1" x14ac:dyDescent="0.25">
      <c r="A52" s="432" t="s">
        <v>43</v>
      </c>
      <c r="B52" s="431"/>
      <c r="C52" s="431"/>
      <c r="D52" s="27"/>
      <c r="E52" s="27"/>
      <c r="F52" s="27"/>
      <c r="G52" s="27"/>
      <c r="H52" s="433" t="s">
        <v>44</v>
      </c>
      <c r="I52" s="434"/>
      <c r="J52" s="434"/>
      <c r="K52" s="434"/>
      <c r="L52" s="434"/>
    </row>
    <row r="53" spans="1:12" ht="14.25" customHeight="1" x14ac:dyDescent="0.25">
      <c r="A53" s="435" t="s">
        <v>45</v>
      </c>
      <c r="B53" s="431"/>
      <c r="C53" s="431"/>
      <c r="D53" s="27"/>
      <c r="E53" s="27"/>
      <c r="F53" s="27"/>
      <c r="G53" s="27"/>
      <c r="H53" s="435" t="s">
        <v>46</v>
      </c>
      <c r="I53" s="431"/>
      <c r="J53" s="431"/>
      <c r="K53" s="431"/>
      <c r="L53" s="431"/>
    </row>
    <row r="54" spans="1:12" ht="6" customHeight="1" x14ac:dyDescent="0.25">
      <c r="A54" s="20"/>
      <c r="B54" s="20"/>
      <c r="C54" s="20"/>
      <c r="D54" s="20"/>
      <c r="E54" s="2"/>
      <c r="F54" s="20"/>
      <c r="G54" s="20"/>
      <c r="H54" s="180"/>
      <c r="I54" s="20"/>
      <c r="J54" s="20"/>
      <c r="K54" s="20"/>
      <c r="L54" s="20"/>
    </row>
    <row r="55" spans="1:12" ht="18" customHeight="1" x14ac:dyDescent="0.25">
      <c r="A55" s="20"/>
      <c r="B55" s="20"/>
      <c r="D55" s="436" t="s">
        <v>192</v>
      </c>
      <c r="E55" s="437"/>
      <c r="F55" s="437"/>
      <c r="G55" s="437"/>
      <c r="H55" s="437"/>
      <c r="I55" s="437"/>
      <c r="J55" s="20"/>
      <c r="K55" s="20"/>
      <c r="L55" s="20"/>
    </row>
    <row r="56" spans="1:12" ht="14.25" customHeight="1" x14ac:dyDescent="0.25">
      <c r="C56" s="20"/>
      <c r="D56" s="433" t="s">
        <v>47</v>
      </c>
      <c r="E56" s="434"/>
      <c r="F56" s="434"/>
      <c r="G56" s="434"/>
      <c r="H56" s="434"/>
      <c r="I56" s="434"/>
      <c r="J56" s="20"/>
      <c r="K56" s="20"/>
      <c r="L56" s="20"/>
    </row>
    <row r="57" spans="1:12" ht="14.25" customHeight="1" x14ac:dyDescent="0.25">
      <c r="A57" s="10" t="s">
        <v>48</v>
      </c>
      <c r="B57" s="20"/>
      <c r="C57" s="20"/>
      <c r="D57" s="430"/>
      <c r="E57" s="431"/>
      <c r="F57" s="431"/>
      <c r="G57" s="431"/>
      <c r="H57" s="431"/>
      <c r="I57" s="431"/>
      <c r="J57" s="29"/>
      <c r="K57" s="20"/>
      <c r="L57" s="20"/>
    </row>
    <row r="58" spans="1:12" ht="2.25" customHeight="1" x14ac:dyDescent="0.25">
      <c r="A58" s="564"/>
      <c r="B58" s="431"/>
      <c r="C58" s="431"/>
      <c r="D58" s="54"/>
      <c r="E58" s="31"/>
      <c r="F58" s="54"/>
      <c r="G58" s="54"/>
      <c r="H58" s="181"/>
      <c r="I58" s="563"/>
      <c r="J58" s="431"/>
      <c r="K58" s="563"/>
      <c r="L58" s="431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</row>
    <row r="64" spans="1:12" ht="14.25" customHeight="1" x14ac:dyDescent="0.25">
      <c r="E64" s="2"/>
      <c r="H64" s="53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  <row r="991" spans="5:5" ht="14.25" customHeight="1" x14ac:dyDescent="0.25">
      <c r="E991" s="2"/>
    </row>
    <row r="992" spans="5:5" ht="14.25" customHeight="1" x14ac:dyDescent="0.25">
      <c r="E992" s="2"/>
    </row>
    <row r="993" spans="5:5" ht="14.25" customHeight="1" x14ac:dyDescent="0.25">
      <c r="E993" s="2"/>
    </row>
    <row r="994" spans="5:5" ht="14.25" customHeight="1" x14ac:dyDescent="0.25">
      <c r="E994" s="2"/>
    </row>
    <row r="995" spans="5:5" ht="14.25" customHeight="1" x14ac:dyDescent="0.25">
      <c r="E995" s="2"/>
    </row>
    <row r="996" spans="5:5" ht="14.25" customHeight="1" x14ac:dyDescent="0.25">
      <c r="E996" s="2"/>
    </row>
    <row r="997" spans="5:5" ht="14.25" customHeight="1" x14ac:dyDescent="0.25">
      <c r="E997" s="2"/>
    </row>
    <row r="998" spans="5:5" ht="14.25" customHeight="1" x14ac:dyDescent="0.25">
      <c r="E998" s="2"/>
    </row>
    <row r="999" spans="5:5" ht="14.25" customHeight="1" x14ac:dyDescent="0.25">
      <c r="E999" s="2"/>
    </row>
  </sheetData>
  <mergeCells count="74">
    <mergeCell ref="A38:C38"/>
    <mergeCell ref="D38:F38"/>
    <mergeCell ref="A29:C29"/>
    <mergeCell ref="E29:G29"/>
    <mergeCell ref="A32:C33"/>
    <mergeCell ref="D32:F33"/>
    <mergeCell ref="G32:J33"/>
    <mergeCell ref="B46:C46"/>
    <mergeCell ref="E42:E43"/>
    <mergeCell ref="F42:F43"/>
    <mergeCell ref="A53:C53"/>
    <mergeCell ref="H53:L53"/>
    <mergeCell ref="A42:A43"/>
    <mergeCell ref="B42:C43"/>
    <mergeCell ref="G42:G43"/>
    <mergeCell ref="H42:H43"/>
    <mergeCell ref="D42:D43"/>
    <mergeCell ref="B45:C45"/>
    <mergeCell ref="B44:C44"/>
    <mergeCell ref="K58:L58"/>
    <mergeCell ref="A47:C47"/>
    <mergeCell ref="A50:C50"/>
    <mergeCell ref="A52:C52"/>
    <mergeCell ref="H52:L52"/>
    <mergeCell ref="D55:I55"/>
    <mergeCell ref="D56:I56"/>
    <mergeCell ref="D57:I57"/>
    <mergeCell ref="A58:C58"/>
    <mergeCell ref="I58:J58"/>
    <mergeCell ref="K38:L38"/>
    <mergeCell ref="K39:L39"/>
    <mergeCell ref="K40:L40"/>
    <mergeCell ref="A34:C34"/>
    <mergeCell ref="D34:F34"/>
    <mergeCell ref="K34:L34"/>
    <mergeCell ref="A37:C37"/>
    <mergeCell ref="D37:F37"/>
    <mergeCell ref="K37:L37"/>
    <mergeCell ref="G34:J38"/>
    <mergeCell ref="A35:C35"/>
    <mergeCell ref="D35:F35"/>
    <mergeCell ref="K35:L35"/>
    <mergeCell ref="A36:C36"/>
    <mergeCell ref="D36:F36"/>
    <mergeCell ref="K36:L36"/>
    <mergeCell ref="B18:C18"/>
    <mergeCell ref="B19:C19"/>
    <mergeCell ref="B20:C20"/>
    <mergeCell ref="B21:C21"/>
    <mergeCell ref="A27:A28"/>
    <mergeCell ref="B27:C28"/>
    <mergeCell ref="K32:L33"/>
    <mergeCell ref="B25:C25"/>
    <mergeCell ref="B22:C22"/>
    <mergeCell ref="B23:C23"/>
    <mergeCell ref="B24:C24"/>
    <mergeCell ref="D27:D28"/>
    <mergeCell ref="E27:G28"/>
    <mergeCell ref="H27:H28"/>
    <mergeCell ref="A2:L2"/>
    <mergeCell ref="A3:L3"/>
    <mergeCell ref="A4:L4"/>
    <mergeCell ref="A5:L5"/>
    <mergeCell ref="A6:L6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</mergeCells>
  <pageMargins left="0.5" right="0.25" top="0.25" bottom="0.25" header="0" footer="0"/>
  <pageSetup paperSize="5" scale="8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99"/>
  <sheetViews>
    <sheetView topLeftCell="A35" zoomScale="85" zoomScaleNormal="85" workbookViewId="0">
      <selection activeCell="B46" sqref="B46:C46"/>
    </sheetView>
  </sheetViews>
  <sheetFormatPr defaultColWidth="14.42578125" defaultRowHeight="15" customHeight="1" x14ac:dyDescent="0.25"/>
  <cols>
    <col min="1" max="1" width="10" customWidth="1"/>
    <col min="2" max="2" width="8.85546875" customWidth="1"/>
    <col min="3" max="3" width="16.7109375" customWidth="1"/>
    <col min="4" max="4" width="8" customWidth="1"/>
    <col min="5" max="5" width="16.85546875" customWidth="1"/>
    <col min="6" max="6" width="9.7109375" customWidth="1"/>
    <col min="7" max="7" width="10" customWidth="1"/>
    <col min="8" max="8" width="9.42578125" style="86" customWidth="1"/>
    <col min="9" max="12" width="5.85546875" customWidth="1"/>
    <col min="13" max="26" width="8.85546875" customWidth="1"/>
  </cols>
  <sheetData>
    <row r="1" spans="1:12" ht="14.25" customHeight="1" x14ac:dyDescent="0.25">
      <c r="A1" s="1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"/>
      <c r="B8" s="3"/>
      <c r="C8" s="3"/>
      <c r="D8" s="3"/>
      <c r="E8" s="4"/>
      <c r="F8" s="3"/>
      <c r="G8" s="3"/>
      <c r="H8" s="98"/>
      <c r="I8" s="3"/>
      <c r="J8" s="3"/>
      <c r="K8" s="3"/>
      <c r="L8" s="3"/>
    </row>
    <row r="9" spans="1:12" ht="20.25" customHeight="1" x14ac:dyDescent="0.3">
      <c r="A9" s="496" t="s">
        <v>64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193" t="s">
        <v>12</v>
      </c>
      <c r="B15" s="165"/>
      <c r="C15" s="144"/>
      <c r="D15" s="144"/>
      <c r="E15" s="138"/>
      <c r="F15" s="144"/>
      <c r="G15" s="144"/>
      <c r="H15" s="183"/>
      <c r="I15" s="144"/>
      <c r="J15" s="144"/>
      <c r="K15" s="144"/>
      <c r="L15" s="144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x14ac:dyDescent="0.25">
      <c r="A18" s="511" t="s">
        <v>135</v>
      </c>
      <c r="B18" s="512" t="s">
        <v>134</v>
      </c>
      <c r="C18" s="512"/>
      <c r="D18" s="113" t="s">
        <v>28</v>
      </c>
      <c r="E18" s="114" t="s">
        <v>88</v>
      </c>
      <c r="F18" s="337" t="s">
        <v>86</v>
      </c>
      <c r="G18" s="513" t="s">
        <v>180</v>
      </c>
      <c r="H18" s="687">
        <v>40</v>
      </c>
      <c r="I18" s="513">
        <v>2</v>
      </c>
      <c r="J18" s="513">
        <v>1</v>
      </c>
      <c r="K18" s="513">
        <v>3</v>
      </c>
      <c r="L18" s="514">
        <v>5</v>
      </c>
    </row>
    <row r="19" spans="1:12" ht="14.25" customHeight="1" x14ac:dyDescent="0.25">
      <c r="A19" s="511"/>
      <c r="B19" s="512"/>
      <c r="C19" s="512"/>
      <c r="D19" s="113" t="s">
        <v>49</v>
      </c>
      <c r="E19" s="114" t="s">
        <v>87</v>
      </c>
      <c r="F19" s="337" t="s">
        <v>110</v>
      </c>
      <c r="G19" s="513"/>
      <c r="H19" s="566"/>
      <c r="I19" s="513"/>
      <c r="J19" s="513"/>
      <c r="K19" s="513"/>
      <c r="L19" s="514"/>
    </row>
    <row r="20" spans="1:12" ht="14.25" customHeight="1" x14ac:dyDescent="0.25">
      <c r="A20" s="511" t="s">
        <v>135</v>
      </c>
      <c r="B20" s="512" t="s">
        <v>134</v>
      </c>
      <c r="C20" s="512"/>
      <c r="D20" s="113" t="s">
        <v>50</v>
      </c>
      <c r="E20" s="114" t="s">
        <v>82</v>
      </c>
      <c r="F20" s="337" t="s">
        <v>86</v>
      </c>
      <c r="G20" s="513" t="s">
        <v>182</v>
      </c>
      <c r="H20" s="687">
        <v>40</v>
      </c>
      <c r="I20" s="513">
        <v>2</v>
      </c>
      <c r="J20" s="513">
        <v>1</v>
      </c>
      <c r="K20" s="513">
        <v>3</v>
      </c>
      <c r="L20" s="514">
        <v>5</v>
      </c>
    </row>
    <row r="21" spans="1:12" ht="14.25" customHeight="1" x14ac:dyDescent="0.25">
      <c r="A21" s="511"/>
      <c r="B21" s="512"/>
      <c r="C21" s="512"/>
      <c r="D21" s="113" t="s">
        <v>38</v>
      </c>
      <c r="E21" s="226" t="s">
        <v>136</v>
      </c>
      <c r="F21" s="337" t="s">
        <v>106</v>
      </c>
      <c r="G21" s="513"/>
      <c r="H21" s="566"/>
      <c r="I21" s="513"/>
      <c r="J21" s="513"/>
      <c r="K21" s="513"/>
      <c r="L21" s="514"/>
    </row>
    <row r="22" spans="1:12" ht="14.25" customHeight="1" x14ac:dyDescent="0.25">
      <c r="A22" s="511" t="s">
        <v>131</v>
      </c>
      <c r="B22" s="512" t="s">
        <v>130</v>
      </c>
      <c r="C22" s="512"/>
      <c r="D22" s="113" t="s">
        <v>49</v>
      </c>
      <c r="E22" s="114" t="s">
        <v>81</v>
      </c>
      <c r="F22" s="337" t="s">
        <v>106</v>
      </c>
      <c r="G22" s="513" t="s">
        <v>179</v>
      </c>
      <c r="H22" s="687">
        <v>40</v>
      </c>
      <c r="I22" s="513">
        <v>2</v>
      </c>
      <c r="J22" s="513">
        <v>1</v>
      </c>
      <c r="K22" s="513">
        <v>3</v>
      </c>
      <c r="L22" s="514">
        <v>5</v>
      </c>
    </row>
    <row r="23" spans="1:12" ht="18.75" customHeight="1" thickBot="1" x14ac:dyDescent="0.3">
      <c r="A23" s="558"/>
      <c r="B23" s="653"/>
      <c r="C23" s="653"/>
      <c r="D23" s="124" t="s">
        <v>28</v>
      </c>
      <c r="E23" s="125" t="s">
        <v>103</v>
      </c>
      <c r="F23" s="339" t="s">
        <v>106</v>
      </c>
      <c r="G23" s="551"/>
      <c r="H23" s="688"/>
      <c r="I23" s="551"/>
      <c r="J23" s="551"/>
      <c r="K23" s="551"/>
      <c r="L23" s="552"/>
    </row>
    <row r="24" spans="1:12" ht="14.25" customHeight="1" x14ac:dyDescent="0.25">
      <c r="B24" s="523"/>
      <c r="C24" s="431"/>
      <c r="E24" s="4" t="s">
        <v>29</v>
      </c>
      <c r="F24" s="10"/>
      <c r="G24" s="10"/>
      <c r="H24" s="173"/>
      <c r="I24" s="11"/>
      <c r="J24" s="11"/>
      <c r="K24" s="12">
        <f>SUM(K18:K23)</f>
        <v>9</v>
      </c>
      <c r="L24" s="12">
        <f>SUM(L18:L23)</f>
        <v>15</v>
      </c>
    </row>
    <row r="25" spans="1:12" ht="14.25" customHeight="1" thickBot="1" x14ac:dyDescent="0.3">
      <c r="A25" s="7" t="s">
        <v>30</v>
      </c>
      <c r="B25" s="8"/>
      <c r="E25" s="2"/>
    </row>
    <row r="26" spans="1:12" ht="14.25" customHeight="1" x14ac:dyDescent="0.25">
      <c r="A26" s="524" t="s">
        <v>13</v>
      </c>
      <c r="B26" s="526" t="s">
        <v>14</v>
      </c>
      <c r="C26" s="527"/>
      <c r="D26" s="528" t="s">
        <v>15</v>
      </c>
      <c r="E26" s="526" t="s">
        <v>16</v>
      </c>
      <c r="F26" s="503"/>
      <c r="G26" s="527"/>
      <c r="H26" s="530" t="s">
        <v>19</v>
      </c>
      <c r="I26" s="13" t="s">
        <v>20</v>
      </c>
      <c r="J26" s="13" t="s">
        <v>20</v>
      </c>
      <c r="K26" s="13" t="s">
        <v>21</v>
      </c>
      <c r="L26" s="14" t="s">
        <v>22</v>
      </c>
    </row>
    <row r="27" spans="1:12" ht="14.25" customHeight="1" x14ac:dyDescent="0.25">
      <c r="A27" s="525"/>
      <c r="B27" s="482"/>
      <c r="C27" s="472"/>
      <c r="D27" s="529"/>
      <c r="E27" s="482"/>
      <c r="F27" s="437"/>
      <c r="G27" s="472"/>
      <c r="H27" s="531"/>
      <c r="I27" s="15" t="s">
        <v>23</v>
      </c>
      <c r="J27" s="15" t="s">
        <v>24</v>
      </c>
      <c r="K27" s="15" t="s">
        <v>25</v>
      </c>
      <c r="L27" s="16" t="s">
        <v>26</v>
      </c>
    </row>
    <row r="28" spans="1:12" ht="14.25" customHeight="1" thickBot="1" x14ac:dyDescent="0.3">
      <c r="A28" s="636" t="s">
        <v>52</v>
      </c>
      <c r="B28" s="642"/>
      <c r="C28" s="643"/>
      <c r="D28" s="9"/>
      <c r="E28" s="644"/>
      <c r="F28" s="501"/>
      <c r="G28" s="645"/>
      <c r="H28" s="184"/>
      <c r="I28" s="9"/>
      <c r="J28" s="9"/>
      <c r="K28" s="9"/>
      <c r="L28" s="46">
        <v>6</v>
      </c>
    </row>
    <row r="29" spans="1:12" ht="14.25" customHeight="1" x14ac:dyDescent="0.25">
      <c r="D29" s="10" t="s">
        <v>31</v>
      </c>
      <c r="E29" s="17"/>
      <c r="F29" s="11"/>
      <c r="G29" s="11"/>
      <c r="H29" s="173"/>
      <c r="I29" s="11"/>
      <c r="K29" s="32">
        <f t="shared" ref="K29:L29" si="0">SUM(K28)</f>
        <v>0</v>
      </c>
      <c r="L29" s="32">
        <f t="shared" si="0"/>
        <v>6</v>
      </c>
    </row>
    <row r="30" spans="1:12" ht="14.25" customHeight="1" thickBot="1" x14ac:dyDescent="0.3">
      <c r="A30" s="7" t="s">
        <v>32</v>
      </c>
      <c r="B30" s="18"/>
      <c r="C30" s="19"/>
      <c r="D30" s="19"/>
      <c r="E30" s="2"/>
      <c r="F30" s="19"/>
      <c r="G30" s="19"/>
      <c r="H30" s="175"/>
      <c r="I30" s="19"/>
      <c r="J30" s="19"/>
      <c r="K30" s="19"/>
      <c r="L30" s="19"/>
    </row>
    <row r="31" spans="1:12" ht="14.25" customHeight="1" x14ac:dyDescent="0.25">
      <c r="A31" s="485" t="s">
        <v>15</v>
      </c>
      <c r="B31" s="488"/>
      <c r="C31" s="488"/>
      <c r="D31" s="487" t="s">
        <v>16</v>
      </c>
      <c r="E31" s="488"/>
      <c r="F31" s="488"/>
      <c r="G31" s="487" t="s">
        <v>33</v>
      </c>
      <c r="H31" s="488"/>
      <c r="I31" s="488"/>
      <c r="J31" s="488"/>
      <c r="K31" s="448" t="s">
        <v>34</v>
      </c>
      <c r="L31" s="724"/>
    </row>
    <row r="32" spans="1:12" ht="14.25" customHeight="1" x14ac:dyDescent="0.25">
      <c r="A32" s="504"/>
      <c r="B32" s="505"/>
      <c r="C32" s="505"/>
      <c r="D32" s="505"/>
      <c r="E32" s="505"/>
      <c r="F32" s="505"/>
      <c r="G32" s="505"/>
      <c r="H32" s="505"/>
      <c r="I32" s="505"/>
      <c r="J32" s="505"/>
      <c r="K32" s="506"/>
      <c r="L32" s="725"/>
    </row>
    <row r="33" spans="1:12" ht="14.25" customHeight="1" x14ac:dyDescent="0.25">
      <c r="A33" s="703" t="s">
        <v>49</v>
      </c>
      <c r="B33" s="505"/>
      <c r="C33" s="505"/>
      <c r="D33" s="704" t="s">
        <v>234</v>
      </c>
      <c r="E33" s="505"/>
      <c r="F33" s="505"/>
      <c r="G33" s="700" t="s">
        <v>75</v>
      </c>
      <c r="H33" s="700"/>
      <c r="I33" s="700"/>
      <c r="J33" s="700"/>
      <c r="K33" s="705">
        <v>3</v>
      </c>
      <c r="L33" s="706"/>
    </row>
    <row r="34" spans="1:12" s="79" customFormat="1" ht="14.25" customHeight="1" x14ac:dyDescent="0.25">
      <c r="A34" s="703" t="s">
        <v>28</v>
      </c>
      <c r="B34" s="505"/>
      <c r="C34" s="505"/>
      <c r="D34" s="704" t="s">
        <v>235</v>
      </c>
      <c r="E34" s="505"/>
      <c r="F34" s="505"/>
      <c r="G34" s="700"/>
      <c r="H34" s="700"/>
      <c r="I34" s="700"/>
      <c r="J34" s="700"/>
      <c r="K34" s="705">
        <v>3</v>
      </c>
      <c r="L34" s="706"/>
    </row>
    <row r="35" spans="1:12" s="79" customFormat="1" ht="14.25" customHeight="1" x14ac:dyDescent="0.25">
      <c r="A35" s="703" t="s">
        <v>27</v>
      </c>
      <c r="B35" s="505"/>
      <c r="C35" s="505"/>
      <c r="D35" s="704" t="s">
        <v>236</v>
      </c>
      <c r="E35" s="505"/>
      <c r="F35" s="505"/>
      <c r="G35" s="700"/>
      <c r="H35" s="700"/>
      <c r="I35" s="700"/>
      <c r="J35" s="700"/>
      <c r="K35" s="705">
        <v>8</v>
      </c>
      <c r="L35" s="706"/>
    </row>
    <row r="36" spans="1:12" ht="15.75" thickBot="1" x14ac:dyDescent="0.3">
      <c r="A36" s="707" t="s">
        <v>38</v>
      </c>
      <c r="B36" s="489"/>
      <c r="C36" s="489"/>
      <c r="D36" s="710" t="s">
        <v>237</v>
      </c>
      <c r="E36" s="489"/>
      <c r="F36" s="489"/>
      <c r="G36" s="491"/>
      <c r="H36" s="491"/>
      <c r="I36" s="491"/>
      <c r="J36" s="491"/>
      <c r="K36" s="711">
        <v>5</v>
      </c>
      <c r="L36" s="712"/>
    </row>
    <row r="37" spans="1:12" x14ac:dyDescent="0.25">
      <c r="A37" s="163"/>
      <c r="B37" s="163"/>
      <c r="C37" s="163"/>
      <c r="D37" s="141" t="s">
        <v>35</v>
      </c>
      <c r="E37" s="142"/>
      <c r="F37" s="143"/>
      <c r="G37" s="143"/>
      <c r="H37" s="182"/>
      <c r="I37" s="143"/>
      <c r="J37" s="133"/>
      <c r="K37" s="652">
        <f>SUM(K33:L36)</f>
        <v>19</v>
      </c>
      <c r="L37" s="573"/>
    </row>
    <row r="38" spans="1:12" x14ac:dyDescent="0.25">
      <c r="A38" s="163"/>
      <c r="B38" s="163"/>
      <c r="C38" s="163"/>
      <c r="D38" s="141" t="s">
        <v>36</v>
      </c>
      <c r="E38" s="142"/>
      <c r="F38" s="143"/>
      <c r="G38" s="143"/>
      <c r="H38" s="182"/>
      <c r="I38" s="143"/>
      <c r="J38" s="144"/>
      <c r="K38" s="652">
        <f>L24+L29+K37</f>
        <v>40</v>
      </c>
      <c r="L38" s="573"/>
    </row>
    <row r="39" spans="1:12" ht="17.25" thickBot="1" x14ac:dyDescent="0.3">
      <c r="A39" s="193" t="s">
        <v>37</v>
      </c>
      <c r="B39" s="152"/>
      <c r="C39" s="144"/>
      <c r="D39" s="137"/>
      <c r="E39" s="153"/>
      <c r="F39" s="137"/>
      <c r="G39" s="137"/>
      <c r="H39" s="187"/>
      <c r="I39" s="137"/>
      <c r="J39" s="137"/>
      <c r="K39" s="154"/>
      <c r="L39" s="194"/>
    </row>
    <row r="40" spans="1:12" s="111" customFormat="1" x14ac:dyDescent="0.25">
      <c r="A40" s="485" t="s">
        <v>13</v>
      </c>
      <c r="B40" s="487" t="s">
        <v>14</v>
      </c>
      <c r="C40" s="488"/>
      <c r="D40" s="487" t="s">
        <v>15</v>
      </c>
      <c r="E40" s="487" t="s">
        <v>16</v>
      </c>
      <c r="F40" s="448" t="s">
        <v>17</v>
      </c>
      <c r="G40" s="448" t="s">
        <v>18</v>
      </c>
      <c r="H40" s="441" t="s">
        <v>19</v>
      </c>
      <c r="I40" s="74" t="s">
        <v>20</v>
      </c>
      <c r="J40" s="74" t="s">
        <v>20</v>
      </c>
      <c r="K40" s="74" t="s">
        <v>21</v>
      </c>
      <c r="L40" s="75" t="s">
        <v>22</v>
      </c>
    </row>
    <row r="41" spans="1:12" s="111" customFormat="1" ht="15.75" thickBot="1" x14ac:dyDescent="0.3">
      <c r="A41" s="486"/>
      <c r="B41" s="489"/>
      <c r="C41" s="489"/>
      <c r="D41" s="489"/>
      <c r="E41" s="489"/>
      <c r="F41" s="489"/>
      <c r="G41" s="489"/>
      <c r="H41" s="442"/>
      <c r="I41" s="76" t="s">
        <v>23</v>
      </c>
      <c r="J41" s="76" t="s">
        <v>24</v>
      </c>
      <c r="K41" s="76" t="s">
        <v>25</v>
      </c>
      <c r="L41" s="77" t="s">
        <v>26</v>
      </c>
    </row>
    <row r="42" spans="1:12" x14ac:dyDescent="0.25">
      <c r="A42" s="578" t="s">
        <v>131</v>
      </c>
      <c r="B42" s="579" t="s">
        <v>130</v>
      </c>
      <c r="C42" s="579"/>
      <c r="D42" s="126" t="s">
        <v>27</v>
      </c>
      <c r="E42" s="127" t="s">
        <v>79</v>
      </c>
      <c r="F42" s="340" t="s">
        <v>102</v>
      </c>
      <c r="G42" s="566" t="s">
        <v>185</v>
      </c>
      <c r="H42" s="566">
        <v>40</v>
      </c>
      <c r="I42" s="566">
        <v>2</v>
      </c>
      <c r="J42" s="566">
        <v>1</v>
      </c>
      <c r="K42" s="566">
        <v>3</v>
      </c>
      <c r="L42" s="580">
        <v>5</v>
      </c>
    </row>
    <row r="43" spans="1:12" s="111" customFormat="1" x14ac:dyDescent="0.25">
      <c r="A43" s="511"/>
      <c r="B43" s="512"/>
      <c r="C43" s="512"/>
      <c r="D43" s="113" t="s">
        <v>50</v>
      </c>
      <c r="E43" s="115" t="s">
        <v>107</v>
      </c>
      <c r="F43" s="337" t="s">
        <v>102</v>
      </c>
      <c r="G43" s="513"/>
      <c r="H43" s="513"/>
      <c r="I43" s="513"/>
      <c r="J43" s="513"/>
      <c r="K43" s="513"/>
      <c r="L43" s="514"/>
    </row>
    <row r="44" spans="1:12" s="338" customFormat="1" x14ac:dyDescent="0.25">
      <c r="A44" s="727" t="s">
        <v>135</v>
      </c>
      <c r="B44" s="610" t="s">
        <v>134</v>
      </c>
      <c r="C44" s="610"/>
      <c r="D44" s="367" t="s">
        <v>38</v>
      </c>
      <c r="E44" s="114" t="s">
        <v>81</v>
      </c>
      <c r="F44" s="513" t="s">
        <v>188</v>
      </c>
      <c r="G44" s="337" t="s">
        <v>102</v>
      </c>
      <c r="H44" s="513">
        <v>40</v>
      </c>
      <c r="I44" s="513">
        <v>2</v>
      </c>
      <c r="J44" s="513">
        <v>1</v>
      </c>
      <c r="K44" s="513">
        <v>3</v>
      </c>
      <c r="L44" s="514">
        <v>5</v>
      </c>
    </row>
    <row r="45" spans="1:12" s="338" customFormat="1" x14ac:dyDescent="0.25">
      <c r="A45" s="727"/>
      <c r="B45" s="610"/>
      <c r="C45" s="610"/>
      <c r="D45" s="113" t="s">
        <v>187</v>
      </c>
      <c r="E45" s="114" t="s">
        <v>103</v>
      </c>
      <c r="F45" s="513"/>
      <c r="G45" s="337" t="s">
        <v>102</v>
      </c>
      <c r="H45" s="513"/>
      <c r="I45" s="513"/>
      <c r="J45" s="513"/>
      <c r="K45" s="513"/>
      <c r="L45" s="514"/>
    </row>
    <row r="46" spans="1:12" s="111" customFormat="1" ht="27" customHeight="1" thickBot="1" x14ac:dyDescent="0.3">
      <c r="A46" s="247" t="s">
        <v>210</v>
      </c>
      <c r="B46" s="726" t="s">
        <v>211</v>
      </c>
      <c r="C46" s="726"/>
      <c r="D46" s="211" t="s">
        <v>216</v>
      </c>
      <c r="E46" s="248" t="s">
        <v>213</v>
      </c>
      <c r="F46" s="368" t="s">
        <v>209</v>
      </c>
      <c r="G46" s="369" t="s">
        <v>223</v>
      </c>
      <c r="H46" s="211">
        <v>40</v>
      </c>
      <c r="I46" s="211">
        <v>3</v>
      </c>
      <c r="J46" s="211">
        <v>3</v>
      </c>
      <c r="K46" s="211">
        <v>3</v>
      </c>
      <c r="L46" s="249">
        <v>2</v>
      </c>
    </row>
    <row r="47" spans="1:12" ht="14.25" customHeight="1" x14ac:dyDescent="0.25">
      <c r="A47" s="523"/>
      <c r="B47" s="431"/>
      <c r="C47" s="431"/>
      <c r="D47" s="4" t="s">
        <v>39</v>
      </c>
      <c r="E47" s="22"/>
      <c r="F47" s="21"/>
      <c r="G47" s="21"/>
      <c r="H47" s="176"/>
      <c r="I47" s="21"/>
      <c r="J47" s="21"/>
      <c r="K47" s="32">
        <f>SUM(K42:K46)</f>
        <v>9</v>
      </c>
      <c r="L47" s="32">
        <v>12</v>
      </c>
    </row>
    <row r="48" spans="1:12" ht="14.25" customHeight="1" x14ac:dyDescent="0.25">
      <c r="A48" s="20"/>
      <c r="B48" s="20"/>
      <c r="C48" s="20"/>
      <c r="D48" s="4" t="s">
        <v>40</v>
      </c>
      <c r="E48" s="25"/>
      <c r="F48" s="26"/>
      <c r="G48" s="26"/>
      <c r="H48" s="177"/>
      <c r="I48" s="26"/>
      <c r="J48" s="26"/>
      <c r="K48" s="32">
        <f>SUM(K24,K29,K47)</f>
        <v>18</v>
      </c>
      <c r="L48" s="32">
        <f>(L24+L29+K37+L47)</f>
        <v>52</v>
      </c>
    </row>
    <row r="49" spans="1:12" ht="3.75" customHeight="1" x14ac:dyDescent="0.25">
      <c r="A49" s="20"/>
      <c r="B49" s="20"/>
      <c r="C49" s="20"/>
      <c r="D49" s="4"/>
      <c r="E49" s="25"/>
      <c r="F49" s="26"/>
      <c r="G49" s="26"/>
      <c r="H49" s="177"/>
      <c r="I49" s="26"/>
      <c r="J49" s="26"/>
      <c r="K49" s="21"/>
      <c r="L49" s="21"/>
    </row>
    <row r="50" spans="1:12" ht="14.25" customHeight="1" x14ac:dyDescent="0.3">
      <c r="A50" s="440" t="s">
        <v>41</v>
      </c>
      <c r="B50" s="431"/>
      <c r="C50" s="431"/>
      <c r="D50" s="27"/>
      <c r="E50" s="27"/>
      <c r="F50" s="27"/>
      <c r="G50" s="27"/>
      <c r="H50" s="178" t="s">
        <v>42</v>
      </c>
      <c r="I50" s="6"/>
      <c r="J50" s="6"/>
      <c r="K50" s="6"/>
      <c r="L50" s="5"/>
    </row>
    <row r="51" spans="1:12" ht="14.25" customHeight="1" x14ac:dyDescent="0.25">
      <c r="A51" s="28"/>
      <c r="B51" s="28"/>
      <c r="C51" s="28"/>
      <c r="D51" s="20"/>
      <c r="E51" s="2"/>
      <c r="F51" s="20"/>
      <c r="G51" s="20"/>
      <c r="H51" s="179"/>
      <c r="I51" s="28"/>
      <c r="J51" s="28"/>
      <c r="K51" s="28"/>
      <c r="L51" s="28"/>
    </row>
    <row r="52" spans="1:12" ht="14.25" customHeight="1" x14ac:dyDescent="0.25">
      <c r="A52" s="432" t="s">
        <v>43</v>
      </c>
      <c r="B52" s="431"/>
      <c r="C52" s="431"/>
      <c r="D52" s="27"/>
      <c r="E52" s="27"/>
      <c r="F52" s="27"/>
      <c r="G52" s="27"/>
      <c r="H52" s="433" t="s">
        <v>44</v>
      </c>
      <c r="I52" s="434"/>
      <c r="J52" s="434"/>
      <c r="K52" s="434"/>
      <c r="L52" s="434"/>
    </row>
    <row r="53" spans="1:12" ht="14.25" customHeight="1" x14ac:dyDescent="0.25">
      <c r="A53" s="435" t="s">
        <v>45</v>
      </c>
      <c r="B53" s="431"/>
      <c r="C53" s="431"/>
      <c r="D53" s="27"/>
      <c r="E53" s="27"/>
      <c r="F53" s="27"/>
      <c r="G53" s="27"/>
      <c r="H53" s="435" t="s">
        <v>46</v>
      </c>
      <c r="I53" s="431"/>
      <c r="J53" s="431"/>
      <c r="K53" s="431"/>
      <c r="L53" s="431"/>
    </row>
    <row r="54" spans="1:12" ht="16.5" customHeight="1" x14ac:dyDescent="0.25">
      <c r="A54" s="20"/>
      <c r="B54" s="20"/>
      <c r="C54" s="20"/>
      <c r="D54" s="20"/>
      <c r="E54" s="2"/>
      <c r="F54" s="20"/>
      <c r="G54" s="20"/>
      <c r="H54" s="180"/>
      <c r="I54" s="20"/>
      <c r="J54" s="20"/>
      <c r="K54" s="20"/>
      <c r="L54" s="20"/>
    </row>
    <row r="55" spans="1:12" ht="18" customHeight="1" x14ac:dyDescent="0.25">
      <c r="A55" s="20"/>
      <c r="B55" s="20"/>
      <c r="D55" s="436" t="s">
        <v>192</v>
      </c>
      <c r="E55" s="437"/>
      <c r="F55" s="437"/>
      <c r="G55" s="437"/>
      <c r="H55" s="437"/>
      <c r="I55" s="437"/>
      <c r="J55" s="20"/>
      <c r="K55" s="20"/>
      <c r="L55" s="20"/>
    </row>
    <row r="56" spans="1:12" ht="14.25" customHeight="1" x14ac:dyDescent="0.25">
      <c r="C56" s="20"/>
      <c r="D56" s="433" t="s">
        <v>47</v>
      </c>
      <c r="E56" s="434"/>
      <c r="F56" s="434"/>
      <c r="G56" s="434"/>
      <c r="H56" s="434"/>
      <c r="I56" s="434"/>
      <c r="J56" s="20"/>
      <c r="K56" s="20"/>
      <c r="L56" s="20"/>
    </row>
    <row r="57" spans="1:12" ht="14.25" customHeight="1" x14ac:dyDescent="0.25">
      <c r="A57" s="10" t="s">
        <v>48</v>
      </c>
      <c r="B57" s="20"/>
      <c r="C57" s="20"/>
      <c r="D57" s="430"/>
      <c r="E57" s="431"/>
      <c r="F57" s="431"/>
      <c r="G57" s="431"/>
      <c r="H57" s="431"/>
      <c r="I57" s="431"/>
      <c r="J57" s="29"/>
      <c r="K57" s="20"/>
      <c r="L57" s="20"/>
    </row>
    <row r="58" spans="1:12" ht="2.25" customHeight="1" x14ac:dyDescent="0.25">
      <c r="A58" s="564"/>
      <c r="B58" s="431"/>
      <c r="C58" s="431"/>
      <c r="D58" s="30"/>
      <c r="E58" s="31"/>
      <c r="F58" s="30"/>
      <c r="G58" s="30"/>
      <c r="H58" s="181"/>
      <c r="I58" s="563"/>
      <c r="J58" s="431"/>
      <c r="K58" s="563"/>
      <c r="L58" s="431"/>
    </row>
    <row r="59" spans="1:12" ht="14.25" customHeight="1" x14ac:dyDescent="0.25">
      <c r="E59" s="2"/>
    </row>
    <row r="60" spans="1:12" ht="14.25" customHeight="1" x14ac:dyDescent="0.25">
      <c r="E60" s="2"/>
    </row>
    <row r="61" spans="1:12" ht="14.25" customHeight="1" x14ac:dyDescent="0.25">
      <c r="E61" s="2"/>
    </row>
    <row r="62" spans="1:12" ht="14.25" customHeight="1" x14ac:dyDescent="0.25">
      <c r="E62" s="2"/>
    </row>
    <row r="63" spans="1:12" ht="14.25" customHeight="1" x14ac:dyDescent="0.25">
      <c r="E63" s="2"/>
      <c r="H63"/>
    </row>
    <row r="64" spans="1:12" ht="14.25" customHeight="1" x14ac:dyDescent="0.25">
      <c r="E64" s="2"/>
      <c r="H64"/>
    </row>
    <row r="65" spans="5:8" ht="14.25" customHeight="1" x14ac:dyDescent="0.25">
      <c r="E65" s="2"/>
      <c r="H65"/>
    </row>
    <row r="66" spans="5:8" ht="14.25" customHeight="1" x14ac:dyDescent="0.25">
      <c r="E66" s="2"/>
      <c r="H66"/>
    </row>
    <row r="67" spans="5:8" ht="14.25" customHeight="1" x14ac:dyDescent="0.25">
      <c r="E67" s="2"/>
      <c r="H67"/>
    </row>
    <row r="68" spans="5:8" ht="14.25" customHeight="1" x14ac:dyDescent="0.25">
      <c r="E68" s="2"/>
      <c r="H68"/>
    </row>
    <row r="69" spans="5:8" ht="14.25" customHeight="1" x14ac:dyDescent="0.25">
      <c r="E69" s="2"/>
      <c r="H69"/>
    </row>
    <row r="70" spans="5:8" ht="14.25" customHeight="1" x14ac:dyDescent="0.25">
      <c r="E70" s="2"/>
      <c r="H70"/>
    </row>
    <row r="71" spans="5:8" ht="14.25" customHeight="1" x14ac:dyDescent="0.25">
      <c r="E71" s="2"/>
      <c r="H71"/>
    </row>
    <row r="72" spans="5:8" ht="14.25" customHeight="1" x14ac:dyDescent="0.25">
      <c r="E72" s="2"/>
      <c r="H72"/>
    </row>
    <row r="73" spans="5:8" ht="14.25" customHeight="1" x14ac:dyDescent="0.25">
      <c r="E73" s="2"/>
      <c r="H73"/>
    </row>
    <row r="74" spans="5:8" ht="14.25" customHeight="1" x14ac:dyDescent="0.25">
      <c r="E74" s="2"/>
      <c r="H74"/>
    </row>
    <row r="75" spans="5:8" ht="14.25" customHeight="1" x14ac:dyDescent="0.25">
      <c r="E75" s="2"/>
      <c r="H75"/>
    </row>
    <row r="76" spans="5:8" ht="14.25" customHeight="1" x14ac:dyDescent="0.25">
      <c r="E76" s="2"/>
      <c r="H76"/>
    </row>
    <row r="77" spans="5:8" ht="14.25" customHeight="1" x14ac:dyDescent="0.25">
      <c r="E77" s="2"/>
      <c r="H77"/>
    </row>
    <row r="78" spans="5:8" ht="14.25" customHeight="1" x14ac:dyDescent="0.25">
      <c r="E78" s="2"/>
      <c r="H78"/>
    </row>
    <row r="79" spans="5:8" ht="14.25" customHeight="1" x14ac:dyDescent="0.25">
      <c r="E79" s="2"/>
      <c r="H79"/>
    </row>
    <row r="80" spans="5:8" ht="14.25" customHeight="1" x14ac:dyDescent="0.25">
      <c r="E80" s="2"/>
      <c r="H80"/>
    </row>
    <row r="81" spans="5:8" ht="14.25" customHeight="1" x14ac:dyDescent="0.25">
      <c r="E81" s="2"/>
      <c r="H81"/>
    </row>
    <row r="82" spans="5:8" ht="14.25" customHeight="1" x14ac:dyDescent="0.25">
      <c r="E82" s="2"/>
      <c r="H82"/>
    </row>
    <row r="83" spans="5:8" ht="14.25" customHeight="1" x14ac:dyDescent="0.25">
      <c r="E83" s="2"/>
      <c r="H83"/>
    </row>
    <row r="84" spans="5:8" ht="14.25" customHeight="1" x14ac:dyDescent="0.25">
      <c r="E84" s="2"/>
      <c r="H84"/>
    </row>
    <row r="85" spans="5:8" ht="14.25" customHeight="1" x14ac:dyDescent="0.25">
      <c r="E85" s="2"/>
      <c r="H85"/>
    </row>
    <row r="86" spans="5:8" ht="14.25" customHeight="1" x14ac:dyDescent="0.25">
      <c r="E86" s="2"/>
      <c r="H86"/>
    </row>
    <row r="87" spans="5:8" ht="14.25" customHeight="1" x14ac:dyDescent="0.25">
      <c r="E87" s="2"/>
      <c r="H87"/>
    </row>
    <row r="88" spans="5:8" ht="14.25" customHeight="1" x14ac:dyDescent="0.25">
      <c r="E88" s="2"/>
      <c r="H88"/>
    </row>
    <row r="89" spans="5:8" ht="14.25" customHeight="1" x14ac:dyDescent="0.25">
      <c r="E89" s="2"/>
      <c r="H89"/>
    </row>
    <row r="90" spans="5:8" ht="14.25" customHeight="1" x14ac:dyDescent="0.25">
      <c r="E90" s="2"/>
      <c r="H90"/>
    </row>
    <row r="91" spans="5:8" ht="14.25" customHeight="1" x14ac:dyDescent="0.25">
      <c r="E91" s="2"/>
      <c r="H91"/>
    </row>
    <row r="92" spans="5:8" ht="14.25" customHeight="1" x14ac:dyDescent="0.25">
      <c r="E92" s="2"/>
      <c r="H92"/>
    </row>
    <row r="93" spans="5:8" ht="14.25" customHeight="1" x14ac:dyDescent="0.25">
      <c r="E93" s="2"/>
      <c r="H93"/>
    </row>
    <row r="94" spans="5:8" ht="14.25" customHeight="1" x14ac:dyDescent="0.25">
      <c r="E94" s="2"/>
      <c r="H94"/>
    </row>
    <row r="95" spans="5:8" ht="14.25" customHeight="1" x14ac:dyDescent="0.25">
      <c r="E95" s="2"/>
      <c r="H95"/>
    </row>
    <row r="96" spans="5:8" ht="14.25" customHeight="1" x14ac:dyDescent="0.25">
      <c r="E96" s="2"/>
      <c r="H96"/>
    </row>
    <row r="97" spans="5:8" ht="14.25" customHeight="1" x14ac:dyDescent="0.25">
      <c r="E97" s="2"/>
      <c r="H97"/>
    </row>
    <row r="98" spans="5:8" ht="14.25" customHeight="1" x14ac:dyDescent="0.25">
      <c r="E98" s="2"/>
      <c r="H98"/>
    </row>
    <row r="99" spans="5:8" ht="14.25" customHeight="1" x14ac:dyDescent="0.25">
      <c r="E99" s="2"/>
      <c r="H99"/>
    </row>
    <row r="100" spans="5:8" ht="14.25" customHeight="1" x14ac:dyDescent="0.25">
      <c r="E100" s="2"/>
      <c r="H100"/>
    </row>
    <row r="101" spans="5:8" ht="14.25" customHeight="1" x14ac:dyDescent="0.25">
      <c r="E101" s="2"/>
      <c r="H101"/>
    </row>
    <row r="102" spans="5:8" ht="14.25" customHeight="1" x14ac:dyDescent="0.25">
      <c r="E102" s="2"/>
      <c r="H102"/>
    </row>
    <row r="103" spans="5:8" ht="14.25" customHeight="1" x14ac:dyDescent="0.25">
      <c r="E103" s="2"/>
      <c r="H103"/>
    </row>
    <row r="104" spans="5:8" ht="14.25" customHeight="1" x14ac:dyDescent="0.25">
      <c r="E104" s="2"/>
      <c r="H104"/>
    </row>
    <row r="105" spans="5:8" ht="14.25" customHeight="1" x14ac:dyDescent="0.25">
      <c r="E105" s="2"/>
      <c r="H105"/>
    </row>
    <row r="106" spans="5:8" ht="14.25" customHeight="1" x14ac:dyDescent="0.25">
      <c r="E106" s="2"/>
      <c r="H106"/>
    </row>
    <row r="107" spans="5:8" ht="14.25" customHeight="1" x14ac:dyDescent="0.25">
      <c r="E107" s="2"/>
      <c r="H107"/>
    </row>
    <row r="108" spans="5:8" ht="14.25" customHeight="1" x14ac:dyDescent="0.25">
      <c r="E108" s="2"/>
      <c r="H108"/>
    </row>
    <row r="109" spans="5:8" ht="14.25" customHeight="1" x14ac:dyDescent="0.25">
      <c r="E109" s="2"/>
      <c r="H109"/>
    </row>
    <row r="110" spans="5:8" ht="14.25" customHeight="1" x14ac:dyDescent="0.25">
      <c r="E110" s="2"/>
      <c r="H110"/>
    </row>
    <row r="111" spans="5:8" ht="14.25" customHeight="1" x14ac:dyDescent="0.25">
      <c r="E111" s="2"/>
      <c r="H111"/>
    </row>
    <row r="112" spans="5:8" ht="14.25" customHeight="1" x14ac:dyDescent="0.25">
      <c r="E112" s="2"/>
      <c r="H112"/>
    </row>
    <row r="113" spans="5:8" ht="14.25" customHeight="1" x14ac:dyDescent="0.25">
      <c r="E113" s="2"/>
      <c r="H113"/>
    </row>
    <row r="114" spans="5:8" ht="14.25" customHeight="1" x14ac:dyDescent="0.25">
      <c r="E114" s="2"/>
      <c r="H114"/>
    </row>
    <row r="115" spans="5:8" ht="14.25" customHeight="1" x14ac:dyDescent="0.25">
      <c r="E115" s="2"/>
      <c r="H115"/>
    </row>
    <row r="116" spans="5:8" ht="14.25" customHeight="1" x14ac:dyDescent="0.25">
      <c r="E116" s="2"/>
      <c r="H116"/>
    </row>
    <row r="117" spans="5:8" ht="14.25" customHeight="1" x14ac:dyDescent="0.25">
      <c r="E117" s="2"/>
      <c r="H117"/>
    </row>
    <row r="118" spans="5:8" ht="14.25" customHeight="1" x14ac:dyDescent="0.25">
      <c r="E118" s="2"/>
      <c r="H118"/>
    </row>
    <row r="119" spans="5:8" ht="14.25" customHeight="1" x14ac:dyDescent="0.25">
      <c r="E119" s="2"/>
      <c r="H119"/>
    </row>
    <row r="120" spans="5:8" ht="14.25" customHeight="1" x14ac:dyDescent="0.25">
      <c r="E120" s="2"/>
      <c r="H120"/>
    </row>
    <row r="121" spans="5:8" ht="14.25" customHeight="1" x14ac:dyDescent="0.25">
      <c r="E121" s="2"/>
      <c r="H121"/>
    </row>
    <row r="122" spans="5:8" ht="14.25" customHeight="1" x14ac:dyDescent="0.25">
      <c r="E122" s="2"/>
      <c r="H122"/>
    </row>
    <row r="123" spans="5:8" ht="14.25" customHeight="1" x14ac:dyDescent="0.25">
      <c r="E123" s="2"/>
      <c r="H123"/>
    </row>
    <row r="124" spans="5:8" ht="14.25" customHeight="1" x14ac:dyDescent="0.25">
      <c r="E124" s="2"/>
      <c r="H124"/>
    </row>
    <row r="125" spans="5:8" ht="14.25" customHeight="1" x14ac:dyDescent="0.25">
      <c r="E125" s="2"/>
      <c r="H125"/>
    </row>
    <row r="126" spans="5:8" ht="14.25" customHeight="1" x14ac:dyDescent="0.25">
      <c r="E126" s="2"/>
      <c r="H126"/>
    </row>
    <row r="127" spans="5:8" ht="14.25" customHeight="1" x14ac:dyDescent="0.25">
      <c r="E127" s="2"/>
      <c r="H127"/>
    </row>
    <row r="128" spans="5:8" ht="14.25" customHeight="1" x14ac:dyDescent="0.25">
      <c r="E128" s="2"/>
      <c r="H128"/>
    </row>
    <row r="129" spans="5:8" ht="14.25" customHeight="1" x14ac:dyDescent="0.25">
      <c r="E129" s="2"/>
      <c r="H129"/>
    </row>
    <row r="130" spans="5:8" ht="14.25" customHeight="1" x14ac:dyDescent="0.25">
      <c r="E130" s="2"/>
      <c r="H130"/>
    </row>
    <row r="131" spans="5:8" ht="14.25" customHeight="1" x14ac:dyDescent="0.25">
      <c r="E131" s="2"/>
      <c r="H131"/>
    </row>
    <row r="132" spans="5:8" ht="14.25" customHeight="1" x14ac:dyDescent="0.25">
      <c r="E132" s="2"/>
      <c r="H132"/>
    </row>
    <row r="133" spans="5:8" ht="14.25" customHeight="1" x14ac:dyDescent="0.25">
      <c r="E133" s="2"/>
      <c r="H133"/>
    </row>
    <row r="134" spans="5:8" ht="14.25" customHeight="1" x14ac:dyDescent="0.25">
      <c r="E134" s="2"/>
      <c r="H134"/>
    </row>
    <row r="135" spans="5:8" ht="14.25" customHeight="1" x14ac:dyDescent="0.25">
      <c r="E135" s="2"/>
      <c r="H135"/>
    </row>
    <row r="136" spans="5:8" ht="14.25" customHeight="1" x14ac:dyDescent="0.25">
      <c r="E136" s="2"/>
      <c r="H136"/>
    </row>
    <row r="137" spans="5:8" ht="14.25" customHeight="1" x14ac:dyDescent="0.25">
      <c r="E137" s="2"/>
      <c r="H137"/>
    </row>
    <row r="138" spans="5:8" ht="14.25" customHeight="1" x14ac:dyDescent="0.25">
      <c r="E138" s="2"/>
      <c r="H138"/>
    </row>
    <row r="139" spans="5:8" ht="14.25" customHeight="1" x14ac:dyDescent="0.25">
      <c r="E139" s="2"/>
      <c r="H139"/>
    </row>
    <row r="140" spans="5:8" ht="14.25" customHeight="1" x14ac:dyDescent="0.25">
      <c r="E140" s="2"/>
      <c r="H140"/>
    </row>
    <row r="141" spans="5:8" ht="14.25" customHeight="1" x14ac:dyDescent="0.25">
      <c r="E141" s="2"/>
      <c r="H141"/>
    </row>
    <row r="142" spans="5:8" ht="14.25" customHeight="1" x14ac:dyDescent="0.25">
      <c r="E142" s="2"/>
      <c r="H142"/>
    </row>
    <row r="143" spans="5:8" ht="14.25" customHeight="1" x14ac:dyDescent="0.25">
      <c r="E143" s="2"/>
      <c r="H143"/>
    </row>
    <row r="144" spans="5:8" ht="14.25" customHeight="1" x14ac:dyDescent="0.25">
      <c r="E144" s="2"/>
      <c r="H144"/>
    </row>
    <row r="145" spans="5:8" ht="14.25" customHeight="1" x14ac:dyDescent="0.25">
      <c r="E145" s="2"/>
      <c r="H145"/>
    </row>
    <row r="146" spans="5:8" ht="14.25" customHeight="1" x14ac:dyDescent="0.25">
      <c r="E146" s="2"/>
      <c r="H146"/>
    </row>
    <row r="147" spans="5:8" ht="14.25" customHeight="1" x14ac:dyDescent="0.25">
      <c r="E147" s="2"/>
      <c r="H147"/>
    </row>
    <row r="148" spans="5:8" ht="14.25" customHeight="1" x14ac:dyDescent="0.25">
      <c r="E148" s="2"/>
      <c r="H148"/>
    </row>
    <row r="149" spans="5:8" ht="14.25" customHeight="1" x14ac:dyDescent="0.25">
      <c r="E149" s="2"/>
      <c r="H149"/>
    </row>
    <row r="150" spans="5:8" ht="14.25" customHeight="1" x14ac:dyDescent="0.25">
      <c r="E150" s="2"/>
      <c r="H150"/>
    </row>
    <row r="151" spans="5:8" ht="14.25" customHeight="1" x14ac:dyDescent="0.25">
      <c r="E151" s="2"/>
      <c r="H151"/>
    </row>
    <row r="152" spans="5:8" ht="14.25" customHeight="1" x14ac:dyDescent="0.25">
      <c r="E152" s="2"/>
      <c r="H152"/>
    </row>
    <row r="153" spans="5:8" ht="14.25" customHeight="1" x14ac:dyDescent="0.25">
      <c r="E153" s="2"/>
      <c r="H153"/>
    </row>
    <row r="154" spans="5:8" ht="14.25" customHeight="1" x14ac:dyDescent="0.25">
      <c r="E154" s="2"/>
      <c r="H154"/>
    </row>
    <row r="155" spans="5:8" ht="14.25" customHeight="1" x14ac:dyDescent="0.25">
      <c r="E155" s="2"/>
      <c r="H155"/>
    </row>
    <row r="156" spans="5:8" ht="14.25" customHeight="1" x14ac:dyDescent="0.25">
      <c r="E156" s="2"/>
      <c r="H156"/>
    </row>
    <row r="157" spans="5:8" ht="14.25" customHeight="1" x14ac:dyDescent="0.25">
      <c r="E157" s="2"/>
      <c r="H157"/>
    </row>
    <row r="158" spans="5:8" ht="14.25" customHeight="1" x14ac:dyDescent="0.25">
      <c r="E158" s="2"/>
      <c r="H158"/>
    </row>
    <row r="159" spans="5:8" ht="14.25" customHeight="1" x14ac:dyDescent="0.25">
      <c r="E159" s="2"/>
      <c r="H159"/>
    </row>
    <row r="160" spans="5:8" ht="14.25" customHeight="1" x14ac:dyDescent="0.25">
      <c r="E160" s="2"/>
      <c r="H160"/>
    </row>
    <row r="161" spans="5:8" ht="14.25" customHeight="1" x14ac:dyDescent="0.25">
      <c r="E161" s="2"/>
      <c r="H161"/>
    </row>
    <row r="162" spans="5:8" ht="14.25" customHeight="1" x14ac:dyDescent="0.25">
      <c r="E162" s="2"/>
      <c r="H162"/>
    </row>
    <row r="163" spans="5:8" ht="14.25" customHeight="1" x14ac:dyDescent="0.25">
      <c r="E163" s="2"/>
      <c r="H163"/>
    </row>
    <row r="164" spans="5:8" ht="14.25" customHeight="1" x14ac:dyDescent="0.25">
      <c r="E164" s="2"/>
      <c r="H164"/>
    </row>
    <row r="165" spans="5:8" ht="14.25" customHeight="1" x14ac:dyDescent="0.25">
      <c r="E165" s="2"/>
      <c r="H165"/>
    </row>
    <row r="166" spans="5:8" ht="14.25" customHeight="1" x14ac:dyDescent="0.25">
      <c r="E166" s="2"/>
      <c r="H166"/>
    </row>
    <row r="167" spans="5:8" ht="14.25" customHeight="1" x14ac:dyDescent="0.25">
      <c r="E167" s="2"/>
      <c r="H167"/>
    </row>
    <row r="168" spans="5:8" ht="14.25" customHeight="1" x14ac:dyDescent="0.25">
      <c r="E168" s="2"/>
      <c r="H168"/>
    </row>
    <row r="169" spans="5:8" ht="14.25" customHeight="1" x14ac:dyDescent="0.25">
      <c r="E169" s="2"/>
      <c r="H169"/>
    </row>
    <row r="170" spans="5:8" ht="14.25" customHeight="1" x14ac:dyDescent="0.25">
      <c r="E170" s="2"/>
      <c r="H170"/>
    </row>
    <row r="171" spans="5:8" ht="14.25" customHeight="1" x14ac:dyDescent="0.25">
      <c r="E171" s="2"/>
      <c r="H171"/>
    </row>
    <row r="172" spans="5:8" ht="14.25" customHeight="1" x14ac:dyDescent="0.25">
      <c r="E172" s="2"/>
      <c r="H172"/>
    </row>
    <row r="173" spans="5:8" ht="14.25" customHeight="1" x14ac:dyDescent="0.25">
      <c r="E173" s="2"/>
      <c r="H173"/>
    </row>
    <row r="174" spans="5:8" ht="14.25" customHeight="1" x14ac:dyDescent="0.25">
      <c r="E174" s="2"/>
      <c r="H174"/>
    </row>
    <row r="175" spans="5:8" ht="14.25" customHeight="1" x14ac:dyDescent="0.25">
      <c r="E175" s="2"/>
      <c r="H175"/>
    </row>
    <row r="176" spans="5:8" ht="14.25" customHeight="1" x14ac:dyDescent="0.25">
      <c r="E176" s="2"/>
      <c r="H176"/>
    </row>
    <row r="177" spans="5:8" ht="14.25" customHeight="1" x14ac:dyDescent="0.25">
      <c r="E177" s="2"/>
      <c r="H177"/>
    </row>
    <row r="178" spans="5:8" ht="14.25" customHeight="1" x14ac:dyDescent="0.25">
      <c r="E178" s="2"/>
      <c r="H178"/>
    </row>
    <row r="179" spans="5:8" ht="14.25" customHeight="1" x14ac:dyDescent="0.25">
      <c r="E179" s="2"/>
      <c r="H179"/>
    </row>
    <row r="180" spans="5:8" ht="14.25" customHeight="1" x14ac:dyDescent="0.25">
      <c r="E180" s="2"/>
      <c r="H180"/>
    </row>
    <row r="181" spans="5:8" ht="14.25" customHeight="1" x14ac:dyDescent="0.25">
      <c r="E181" s="2"/>
      <c r="H181"/>
    </row>
    <row r="182" spans="5:8" ht="14.25" customHeight="1" x14ac:dyDescent="0.25">
      <c r="E182" s="2"/>
      <c r="H182"/>
    </row>
    <row r="183" spans="5:8" ht="14.25" customHeight="1" x14ac:dyDescent="0.25">
      <c r="E183" s="2"/>
      <c r="H183"/>
    </row>
    <row r="184" spans="5:8" ht="14.25" customHeight="1" x14ac:dyDescent="0.25">
      <c r="E184" s="2"/>
      <c r="H184"/>
    </row>
    <row r="185" spans="5:8" ht="14.25" customHeight="1" x14ac:dyDescent="0.25">
      <c r="E185" s="2"/>
      <c r="H185"/>
    </row>
    <row r="186" spans="5:8" ht="14.25" customHeight="1" x14ac:dyDescent="0.25">
      <c r="E186" s="2"/>
      <c r="H186"/>
    </row>
    <row r="187" spans="5:8" ht="14.25" customHeight="1" x14ac:dyDescent="0.25">
      <c r="E187" s="2"/>
      <c r="H187"/>
    </row>
    <row r="188" spans="5:8" ht="14.25" customHeight="1" x14ac:dyDescent="0.25">
      <c r="E188" s="2"/>
      <c r="H188"/>
    </row>
    <row r="189" spans="5:8" ht="14.25" customHeight="1" x14ac:dyDescent="0.25">
      <c r="E189" s="2"/>
      <c r="H189"/>
    </row>
    <row r="190" spans="5:8" ht="14.25" customHeight="1" x14ac:dyDescent="0.25">
      <c r="E190" s="2"/>
      <c r="H190"/>
    </row>
    <row r="191" spans="5:8" ht="14.25" customHeight="1" x14ac:dyDescent="0.25">
      <c r="E191" s="2"/>
      <c r="H191"/>
    </row>
    <row r="192" spans="5:8" ht="14.25" customHeight="1" x14ac:dyDescent="0.25">
      <c r="E192" s="2"/>
      <c r="H192"/>
    </row>
    <row r="193" spans="5:8" ht="14.25" customHeight="1" x14ac:dyDescent="0.25">
      <c r="E193" s="2"/>
      <c r="H193"/>
    </row>
    <row r="194" spans="5:8" ht="14.25" customHeight="1" x14ac:dyDescent="0.25">
      <c r="E194" s="2"/>
      <c r="H194"/>
    </row>
    <row r="195" spans="5:8" ht="14.25" customHeight="1" x14ac:dyDescent="0.25">
      <c r="E195" s="2"/>
      <c r="H195"/>
    </row>
    <row r="196" spans="5:8" ht="14.25" customHeight="1" x14ac:dyDescent="0.25">
      <c r="E196" s="2"/>
      <c r="H196"/>
    </row>
    <row r="197" spans="5:8" ht="14.25" customHeight="1" x14ac:dyDescent="0.25">
      <c r="E197" s="2"/>
      <c r="H197"/>
    </row>
    <row r="198" spans="5:8" ht="14.25" customHeight="1" x14ac:dyDescent="0.25">
      <c r="E198" s="2"/>
      <c r="H198"/>
    </row>
    <row r="199" spans="5:8" ht="14.25" customHeight="1" x14ac:dyDescent="0.25">
      <c r="E199" s="2"/>
      <c r="H199"/>
    </row>
    <row r="200" spans="5:8" ht="14.25" customHeight="1" x14ac:dyDescent="0.25">
      <c r="E200" s="2"/>
      <c r="H200"/>
    </row>
    <row r="201" spans="5:8" ht="14.25" customHeight="1" x14ac:dyDescent="0.25">
      <c r="E201" s="2"/>
      <c r="H201"/>
    </row>
    <row r="202" spans="5:8" ht="14.25" customHeight="1" x14ac:dyDescent="0.25">
      <c r="E202" s="2"/>
      <c r="H202"/>
    </row>
    <row r="203" spans="5:8" ht="14.25" customHeight="1" x14ac:dyDescent="0.25">
      <c r="E203" s="2"/>
      <c r="H203"/>
    </row>
    <row r="204" spans="5:8" ht="14.25" customHeight="1" x14ac:dyDescent="0.25">
      <c r="E204" s="2"/>
      <c r="H204"/>
    </row>
    <row r="205" spans="5:8" ht="14.25" customHeight="1" x14ac:dyDescent="0.25">
      <c r="E205" s="2"/>
      <c r="H205"/>
    </row>
    <row r="206" spans="5:8" ht="14.25" customHeight="1" x14ac:dyDescent="0.25">
      <c r="E206" s="2"/>
      <c r="H206"/>
    </row>
    <row r="207" spans="5:8" ht="14.25" customHeight="1" x14ac:dyDescent="0.25">
      <c r="E207" s="2"/>
      <c r="H207"/>
    </row>
    <row r="208" spans="5:8" ht="14.25" customHeight="1" x14ac:dyDescent="0.25">
      <c r="E208" s="2"/>
      <c r="H208"/>
    </row>
    <row r="209" spans="5:8" ht="14.25" customHeight="1" x14ac:dyDescent="0.25">
      <c r="E209" s="2"/>
      <c r="H209"/>
    </row>
    <row r="210" spans="5:8" ht="14.25" customHeight="1" x14ac:dyDescent="0.25">
      <c r="E210" s="2"/>
      <c r="H210"/>
    </row>
    <row r="211" spans="5:8" ht="14.25" customHeight="1" x14ac:dyDescent="0.25">
      <c r="E211" s="2"/>
      <c r="H211"/>
    </row>
    <row r="212" spans="5:8" ht="14.25" customHeight="1" x14ac:dyDescent="0.25">
      <c r="E212" s="2"/>
      <c r="H212"/>
    </row>
    <row r="213" spans="5:8" ht="14.25" customHeight="1" x14ac:dyDescent="0.25">
      <c r="E213" s="2"/>
      <c r="H213"/>
    </row>
    <row r="214" spans="5:8" ht="14.25" customHeight="1" x14ac:dyDescent="0.25">
      <c r="E214" s="2"/>
      <c r="H214"/>
    </row>
    <row r="215" spans="5:8" ht="14.25" customHeight="1" x14ac:dyDescent="0.25">
      <c r="E215" s="2"/>
      <c r="H215"/>
    </row>
    <row r="216" spans="5:8" ht="14.25" customHeight="1" x14ac:dyDescent="0.25">
      <c r="E216" s="2"/>
      <c r="H216"/>
    </row>
    <row r="217" spans="5:8" ht="14.25" customHeight="1" x14ac:dyDescent="0.25">
      <c r="E217" s="2"/>
      <c r="H217"/>
    </row>
    <row r="218" spans="5:8" ht="14.25" customHeight="1" x14ac:dyDescent="0.25">
      <c r="E218" s="2"/>
      <c r="H218"/>
    </row>
    <row r="219" spans="5:8" ht="14.25" customHeight="1" x14ac:dyDescent="0.25">
      <c r="E219" s="2"/>
      <c r="H219"/>
    </row>
    <row r="220" spans="5:8" ht="14.25" customHeight="1" x14ac:dyDescent="0.25">
      <c r="E220" s="2"/>
      <c r="H220"/>
    </row>
    <row r="221" spans="5:8" ht="14.25" customHeight="1" x14ac:dyDescent="0.25">
      <c r="E221" s="2"/>
      <c r="H221"/>
    </row>
    <row r="222" spans="5:8" ht="14.25" customHeight="1" x14ac:dyDescent="0.25">
      <c r="E222" s="2"/>
      <c r="H222"/>
    </row>
    <row r="223" spans="5:8" ht="14.25" customHeight="1" x14ac:dyDescent="0.25">
      <c r="E223" s="2"/>
      <c r="H223"/>
    </row>
    <row r="224" spans="5:8" ht="14.25" customHeight="1" x14ac:dyDescent="0.25">
      <c r="E224" s="2"/>
      <c r="H224"/>
    </row>
    <row r="225" spans="5:8" ht="14.25" customHeight="1" x14ac:dyDescent="0.25">
      <c r="E225" s="2"/>
      <c r="H225"/>
    </row>
    <row r="226" spans="5:8" ht="14.25" customHeight="1" x14ac:dyDescent="0.25">
      <c r="E226" s="2"/>
      <c r="H226"/>
    </row>
    <row r="227" spans="5:8" ht="14.25" customHeight="1" x14ac:dyDescent="0.25">
      <c r="E227" s="2"/>
      <c r="H227"/>
    </row>
    <row r="228" spans="5:8" ht="14.25" customHeight="1" x14ac:dyDescent="0.25">
      <c r="E228" s="2"/>
      <c r="H228"/>
    </row>
    <row r="229" spans="5:8" ht="14.25" customHeight="1" x14ac:dyDescent="0.25">
      <c r="E229" s="2"/>
      <c r="H229"/>
    </row>
    <row r="230" spans="5:8" ht="14.25" customHeight="1" x14ac:dyDescent="0.25">
      <c r="E230" s="2"/>
      <c r="H230"/>
    </row>
    <row r="231" spans="5:8" ht="14.25" customHeight="1" x14ac:dyDescent="0.25">
      <c r="E231" s="2"/>
      <c r="H231"/>
    </row>
    <row r="232" spans="5:8" ht="14.25" customHeight="1" x14ac:dyDescent="0.25">
      <c r="E232" s="2"/>
      <c r="H232"/>
    </row>
    <row r="233" spans="5:8" ht="14.25" customHeight="1" x14ac:dyDescent="0.25">
      <c r="E233" s="2"/>
      <c r="H233"/>
    </row>
    <row r="234" spans="5:8" ht="14.25" customHeight="1" x14ac:dyDescent="0.25">
      <c r="E234" s="2"/>
      <c r="H234"/>
    </row>
    <row r="235" spans="5:8" ht="14.25" customHeight="1" x14ac:dyDescent="0.25">
      <c r="E235" s="2"/>
      <c r="H235"/>
    </row>
    <row r="236" spans="5:8" ht="14.25" customHeight="1" x14ac:dyDescent="0.25">
      <c r="E236" s="2"/>
      <c r="H236"/>
    </row>
    <row r="237" spans="5:8" ht="14.25" customHeight="1" x14ac:dyDescent="0.25">
      <c r="E237" s="2"/>
      <c r="H237"/>
    </row>
    <row r="238" spans="5:8" ht="14.25" customHeight="1" x14ac:dyDescent="0.25">
      <c r="E238" s="2"/>
      <c r="H238"/>
    </row>
    <row r="239" spans="5:8" ht="14.25" customHeight="1" x14ac:dyDescent="0.25">
      <c r="E239" s="2"/>
      <c r="H239"/>
    </row>
    <row r="240" spans="5:8" ht="14.25" customHeight="1" x14ac:dyDescent="0.25">
      <c r="E240" s="2"/>
      <c r="H240"/>
    </row>
    <row r="241" spans="5:8" ht="14.25" customHeight="1" x14ac:dyDescent="0.25">
      <c r="E241" s="2"/>
      <c r="H241"/>
    </row>
    <row r="242" spans="5:8" ht="14.25" customHeight="1" x14ac:dyDescent="0.25">
      <c r="E242" s="2"/>
      <c r="H242"/>
    </row>
    <row r="243" spans="5:8" ht="14.25" customHeight="1" x14ac:dyDescent="0.25">
      <c r="E243" s="2"/>
      <c r="H243"/>
    </row>
    <row r="244" spans="5:8" ht="14.25" customHeight="1" x14ac:dyDescent="0.25">
      <c r="E244" s="2"/>
      <c r="H244"/>
    </row>
    <row r="245" spans="5:8" ht="14.25" customHeight="1" x14ac:dyDescent="0.25">
      <c r="E245" s="2"/>
      <c r="H245"/>
    </row>
    <row r="246" spans="5:8" ht="14.25" customHeight="1" x14ac:dyDescent="0.25">
      <c r="E246" s="2"/>
      <c r="H246"/>
    </row>
    <row r="247" spans="5:8" ht="14.25" customHeight="1" x14ac:dyDescent="0.25">
      <c r="E247" s="2"/>
      <c r="H247"/>
    </row>
    <row r="248" spans="5:8" ht="14.25" customHeight="1" x14ac:dyDescent="0.25">
      <c r="E248" s="2"/>
      <c r="H248"/>
    </row>
    <row r="249" spans="5:8" ht="14.25" customHeight="1" x14ac:dyDescent="0.25">
      <c r="E249" s="2"/>
      <c r="H249"/>
    </row>
    <row r="250" spans="5:8" ht="14.25" customHeight="1" x14ac:dyDescent="0.25">
      <c r="E250" s="2"/>
      <c r="H250"/>
    </row>
    <row r="251" spans="5:8" ht="14.25" customHeight="1" x14ac:dyDescent="0.25">
      <c r="E251" s="2"/>
      <c r="H251"/>
    </row>
    <row r="252" spans="5:8" ht="14.25" customHeight="1" x14ac:dyDescent="0.25">
      <c r="E252" s="2"/>
      <c r="H252"/>
    </row>
    <row r="253" spans="5:8" ht="14.25" customHeight="1" x14ac:dyDescent="0.25">
      <c r="E253" s="2"/>
      <c r="H253"/>
    </row>
    <row r="254" spans="5:8" ht="14.25" customHeight="1" x14ac:dyDescent="0.25">
      <c r="E254" s="2"/>
      <c r="H254"/>
    </row>
    <row r="255" spans="5:8" ht="14.25" customHeight="1" x14ac:dyDescent="0.25">
      <c r="E255" s="2"/>
      <c r="H255"/>
    </row>
    <row r="256" spans="5:8" ht="14.25" customHeight="1" x14ac:dyDescent="0.25">
      <c r="E256" s="2"/>
      <c r="H256"/>
    </row>
    <row r="257" spans="5:8" ht="14.25" customHeight="1" x14ac:dyDescent="0.25">
      <c r="E257" s="2"/>
      <c r="H257"/>
    </row>
    <row r="258" spans="5:8" ht="14.25" customHeight="1" x14ac:dyDescent="0.25">
      <c r="E258" s="2"/>
      <c r="H258"/>
    </row>
    <row r="259" spans="5:8" ht="14.25" customHeight="1" x14ac:dyDescent="0.25">
      <c r="E259" s="2"/>
      <c r="H259"/>
    </row>
    <row r="260" spans="5:8" ht="14.25" customHeight="1" x14ac:dyDescent="0.25">
      <c r="E260" s="2"/>
      <c r="H260"/>
    </row>
    <row r="261" spans="5:8" ht="14.25" customHeight="1" x14ac:dyDescent="0.25">
      <c r="E261" s="2"/>
      <c r="H261"/>
    </row>
    <row r="262" spans="5:8" ht="14.25" customHeight="1" x14ac:dyDescent="0.25">
      <c r="E262" s="2"/>
      <c r="H262"/>
    </row>
    <row r="263" spans="5:8" ht="14.25" customHeight="1" x14ac:dyDescent="0.25">
      <c r="E263" s="2"/>
      <c r="H263"/>
    </row>
    <row r="264" spans="5:8" ht="14.25" customHeight="1" x14ac:dyDescent="0.25">
      <c r="E264" s="2"/>
      <c r="H264"/>
    </row>
    <row r="265" spans="5:8" ht="14.25" customHeight="1" x14ac:dyDescent="0.25">
      <c r="E265" s="2"/>
      <c r="H265"/>
    </row>
    <row r="266" spans="5:8" ht="14.25" customHeight="1" x14ac:dyDescent="0.25">
      <c r="E266" s="2"/>
      <c r="H266"/>
    </row>
    <row r="267" spans="5:8" ht="14.25" customHeight="1" x14ac:dyDescent="0.25">
      <c r="E267" s="2"/>
      <c r="H267"/>
    </row>
    <row r="268" spans="5:8" ht="14.25" customHeight="1" x14ac:dyDescent="0.25">
      <c r="E268" s="2"/>
      <c r="H268"/>
    </row>
    <row r="269" spans="5:8" ht="14.25" customHeight="1" x14ac:dyDescent="0.25">
      <c r="E269" s="2"/>
      <c r="H269"/>
    </row>
    <row r="270" spans="5:8" ht="14.25" customHeight="1" x14ac:dyDescent="0.25">
      <c r="E270" s="2"/>
      <c r="H270"/>
    </row>
    <row r="271" spans="5:8" ht="14.25" customHeight="1" x14ac:dyDescent="0.25">
      <c r="E271" s="2"/>
      <c r="H271"/>
    </row>
    <row r="272" spans="5:8" ht="14.25" customHeight="1" x14ac:dyDescent="0.25">
      <c r="E272" s="2"/>
      <c r="H272"/>
    </row>
    <row r="273" spans="5:8" ht="14.25" customHeight="1" x14ac:dyDescent="0.25">
      <c r="E273" s="2"/>
      <c r="H273"/>
    </row>
    <row r="274" spans="5:8" ht="14.25" customHeight="1" x14ac:dyDescent="0.25">
      <c r="E274" s="2"/>
      <c r="H274"/>
    </row>
    <row r="275" spans="5:8" ht="14.25" customHeight="1" x14ac:dyDescent="0.25">
      <c r="E275" s="2"/>
      <c r="H275"/>
    </row>
    <row r="276" spans="5:8" ht="14.25" customHeight="1" x14ac:dyDescent="0.25">
      <c r="E276" s="2"/>
      <c r="H276"/>
    </row>
    <row r="277" spans="5:8" ht="14.25" customHeight="1" x14ac:dyDescent="0.25">
      <c r="E277" s="2"/>
      <c r="H277"/>
    </row>
    <row r="278" spans="5:8" ht="14.25" customHeight="1" x14ac:dyDescent="0.25">
      <c r="E278" s="2"/>
      <c r="H278"/>
    </row>
    <row r="279" spans="5:8" ht="14.25" customHeight="1" x14ac:dyDescent="0.25">
      <c r="E279" s="2"/>
      <c r="H279"/>
    </row>
    <row r="280" spans="5:8" ht="14.25" customHeight="1" x14ac:dyDescent="0.25">
      <c r="E280" s="2"/>
      <c r="H280"/>
    </row>
    <row r="281" spans="5:8" ht="14.25" customHeight="1" x14ac:dyDescent="0.25">
      <c r="E281" s="2"/>
      <c r="H281"/>
    </row>
    <row r="282" spans="5:8" ht="14.25" customHeight="1" x14ac:dyDescent="0.25">
      <c r="E282" s="2"/>
      <c r="H282"/>
    </row>
    <row r="283" spans="5:8" ht="14.25" customHeight="1" x14ac:dyDescent="0.25">
      <c r="E283" s="2"/>
      <c r="H283"/>
    </row>
    <row r="284" spans="5:8" ht="14.25" customHeight="1" x14ac:dyDescent="0.25">
      <c r="E284" s="2"/>
      <c r="H284"/>
    </row>
    <row r="285" spans="5:8" ht="14.25" customHeight="1" x14ac:dyDescent="0.25">
      <c r="E285" s="2"/>
      <c r="H285"/>
    </row>
    <row r="286" spans="5:8" ht="14.25" customHeight="1" x14ac:dyDescent="0.25">
      <c r="E286" s="2"/>
      <c r="H286"/>
    </row>
    <row r="287" spans="5:8" ht="14.25" customHeight="1" x14ac:dyDescent="0.25">
      <c r="E287" s="2"/>
      <c r="H287"/>
    </row>
    <row r="288" spans="5:8" ht="14.25" customHeight="1" x14ac:dyDescent="0.25">
      <c r="E288" s="2"/>
      <c r="H288"/>
    </row>
    <row r="289" spans="5:8" ht="14.25" customHeight="1" x14ac:dyDescent="0.25">
      <c r="E289" s="2"/>
      <c r="H289"/>
    </row>
    <row r="290" spans="5:8" ht="14.25" customHeight="1" x14ac:dyDescent="0.25">
      <c r="E290" s="2"/>
      <c r="H290"/>
    </row>
    <row r="291" spans="5:8" ht="14.25" customHeight="1" x14ac:dyDescent="0.25">
      <c r="E291" s="2"/>
      <c r="H291"/>
    </row>
    <row r="292" spans="5:8" ht="14.25" customHeight="1" x14ac:dyDescent="0.25">
      <c r="E292" s="2"/>
      <c r="H292"/>
    </row>
    <row r="293" spans="5:8" ht="14.25" customHeight="1" x14ac:dyDescent="0.25">
      <c r="E293" s="2"/>
      <c r="H293"/>
    </row>
    <row r="294" spans="5:8" ht="14.25" customHeight="1" x14ac:dyDescent="0.25">
      <c r="E294" s="2"/>
      <c r="H294"/>
    </row>
    <row r="295" spans="5:8" ht="14.25" customHeight="1" x14ac:dyDescent="0.25">
      <c r="E295" s="2"/>
      <c r="H295"/>
    </row>
    <row r="296" spans="5:8" ht="14.25" customHeight="1" x14ac:dyDescent="0.25">
      <c r="E296" s="2"/>
      <c r="H296"/>
    </row>
    <row r="297" spans="5:8" ht="14.25" customHeight="1" x14ac:dyDescent="0.25">
      <c r="E297" s="2"/>
      <c r="H297"/>
    </row>
    <row r="298" spans="5:8" ht="14.25" customHeight="1" x14ac:dyDescent="0.25">
      <c r="E298" s="2"/>
      <c r="H298"/>
    </row>
    <row r="299" spans="5:8" ht="14.25" customHeight="1" x14ac:dyDescent="0.25">
      <c r="E299" s="2"/>
      <c r="H299"/>
    </row>
    <row r="300" spans="5:8" ht="14.25" customHeight="1" x14ac:dyDescent="0.25">
      <c r="E300" s="2"/>
      <c r="H300"/>
    </row>
    <row r="301" spans="5:8" ht="14.25" customHeight="1" x14ac:dyDescent="0.25">
      <c r="E301" s="2"/>
      <c r="H301"/>
    </row>
    <row r="302" spans="5:8" ht="14.25" customHeight="1" x14ac:dyDescent="0.25">
      <c r="E302" s="2"/>
      <c r="H302"/>
    </row>
    <row r="303" spans="5:8" ht="14.25" customHeight="1" x14ac:dyDescent="0.25">
      <c r="E303" s="2"/>
      <c r="H303"/>
    </row>
    <row r="304" spans="5:8" ht="14.25" customHeight="1" x14ac:dyDescent="0.25">
      <c r="E304" s="2"/>
      <c r="H304"/>
    </row>
    <row r="305" spans="5:8" ht="14.25" customHeight="1" x14ac:dyDescent="0.25">
      <c r="E305" s="2"/>
      <c r="H305"/>
    </row>
    <row r="306" spans="5:8" ht="14.25" customHeight="1" x14ac:dyDescent="0.25">
      <c r="E306" s="2"/>
      <c r="H306"/>
    </row>
    <row r="307" spans="5:8" ht="14.25" customHeight="1" x14ac:dyDescent="0.25">
      <c r="E307" s="2"/>
      <c r="H307"/>
    </row>
    <row r="308" spans="5:8" ht="14.25" customHeight="1" x14ac:dyDescent="0.25">
      <c r="E308" s="2"/>
      <c r="H308"/>
    </row>
    <row r="309" spans="5:8" ht="14.25" customHeight="1" x14ac:dyDescent="0.25">
      <c r="E309" s="2"/>
      <c r="H309"/>
    </row>
    <row r="310" spans="5:8" ht="14.25" customHeight="1" x14ac:dyDescent="0.25">
      <c r="E310" s="2"/>
      <c r="H310"/>
    </row>
    <row r="311" spans="5:8" ht="14.25" customHeight="1" x14ac:dyDescent="0.25">
      <c r="E311" s="2"/>
      <c r="H311"/>
    </row>
    <row r="312" spans="5:8" ht="14.25" customHeight="1" x14ac:dyDescent="0.25">
      <c r="E312" s="2"/>
      <c r="H312"/>
    </row>
    <row r="313" spans="5:8" ht="14.25" customHeight="1" x14ac:dyDescent="0.25">
      <c r="E313" s="2"/>
      <c r="H313"/>
    </row>
    <row r="314" spans="5:8" ht="14.25" customHeight="1" x14ac:dyDescent="0.25">
      <c r="E314" s="2"/>
      <c r="H314"/>
    </row>
    <row r="315" spans="5:8" ht="14.25" customHeight="1" x14ac:dyDescent="0.25">
      <c r="E315" s="2"/>
      <c r="H315"/>
    </row>
    <row r="316" spans="5:8" ht="14.25" customHeight="1" x14ac:dyDescent="0.25">
      <c r="E316" s="2"/>
      <c r="H316"/>
    </row>
    <row r="317" spans="5:8" ht="14.25" customHeight="1" x14ac:dyDescent="0.25">
      <c r="E317" s="2"/>
      <c r="H317"/>
    </row>
    <row r="318" spans="5:8" ht="14.25" customHeight="1" x14ac:dyDescent="0.25">
      <c r="E318" s="2"/>
      <c r="H318"/>
    </row>
    <row r="319" spans="5:8" ht="14.25" customHeight="1" x14ac:dyDescent="0.25">
      <c r="E319" s="2"/>
      <c r="H319"/>
    </row>
    <row r="320" spans="5:8" ht="14.25" customHeight="1" x14ac:dyDescent="0.25">
      <c r="E320" s="2"/>
      <c r="H320"/>
    </row>
    <row r="321" spans="5:8" ht="14.25" customHeight="1" x14ac:dyDescent="0.25">
      <c r="E321" s="2"/>
      <c r="H321"/>
    </row>
    <row r="322" spans="5:8" ht="14.25" customHeight="1" x14ac:dyDescent="0.25">
      <c r="E322" s="2"/>
      <c r="H322"/>
    </row>
    <row r="323" spans="5:8" ht="14.25" customHeight="1" x14ac:dyDescent="0.25">
      <c r="E323" s="2"/>
      <c r="H323"/>
    </row>
    <row r="324" spans="5:8" ht="14.25" customHeight="1" x14ac:dyDescent="0.25">
      <c r="E324" s="2"/>
      <c r="H324"/>
    </row>
    <row r="325" spans="5:8" ht="14.25" customHeight="1" x14ac:dyDescent="0.25">
      <c r="E325" s="2"/>
      <c r="H325"/>
    </row>
    <row r="326" spans="5:8" ht="14.25" customHeight="1" x14ac:dyDescent="0.25">
      <c r="E326" s="2"/>
      <c r="H326"/>
    </row>
    <row r="327" spans="5:8" ht="14.25" customHeight="1" x14ac:dyDescent="0.25">
      <c r="E327" s="2"/>
      <c r="H327"/>
    </row>
    <row r="328" spans="5:8" ht="14.25" customHeight="1" x14ac:dyDescent="0.25">
      <c r="E328" s="2"/>
      <c r="H328"/>
    </row>
    <row r="329" spans="5:8" ht="14.25" customHeight="1" x14ac:dyDescent="0.25">
      <c r="E329" s="2"/>
      <c r="H329"/>
    </row>
    <row r="330" spans="5:8" ht="14.25" customHeight="1" x14ac:dyDescent="0.25">
      <c r="E330" s="2"/>
      <c r="H330"/>
    </row>
    <row r="331" spans="5:8" ht="14.25" customHeight="1" x14ac:dyDescent="0.25">
      <c r="E331" s="2"/>
      <c r="H331"/>
    </row>
    <row r="332" spans="5:8" ht="14.25" customHeight="1" x14ac:dyDescent="0.25">
      <c r="E332" s="2"/>
      <c r="H332"/>
    </row>
    <row r="333" spans="5:8" ht="14.25" customHeight="1" x14ac:dyDescent="0.25">
      <c r="E333" s="2"/>
      <c r="H333"/>
    </row>
    <row r="334" spans="5:8" ht="14.25" customHeight="1" x14ac:dyDescent="0.25">
      <c r="E334" s="2"/>
      <c r="H334"/>
    </row>
    <row r="335" spans="5:8" ht="14.25" customHeight="1" x14ac:dyDescent="0.25">
      <c r="E335" s="2"/>
      <c r="H335"/>
    </row>
    <row r="336" spans="5:8" ht="14.25" customHeight="1" x14ac:dyDescent="0.25">
      <c r="E336" s="2"/>
      <c r="H336"/>
    </row>
    <row r="337" spans="5:8" ht="14.25" customHeight="1" x14ac:dyDescent="0.25">
      <c r="E337" s="2"/>
      <c r="H337"/>
    </row>
    <row r="338" spans="5:8" ht="14.25" customHeight="1" x14ac:dyDescent="0.25">
      <c r="E338" s="2"/>
      <c r="H338"/>
    </row>
    <row r="339" spans="5:8" ht="14.25" customHeight="1" x14ac:dyDescent="0.25">
      <c r="E339" s="2"/>
      <c r="H339"/>
    </row>
    <row r="340" spans="5:8" ht="14.25" customHeight="1" x14ac:dyDescent="0.25">
      <c r="E340" s="2"/>
      <c r="H340"/>
    </row>
    <row r="341" spans="5:8" ht="14.25" customHeight="1" x14ac:dyDescent="0.25">
      <c r="E341" s="2"/>
      <c r="H341"/>
    </row>
    <row r="342" spans="5:8" ht="14.25" customHeight="1" x14ac:dyDescent="0.25">
      <c r="E342" s="2"/>
      <c r="H342"/>
    </row>
    <row r="343" spans="5:8" ht="14.25" customHeight="1" x14ac:dyDescent="0.25">
      <c r="E343" s="2"/>
      <c r="H343"/>
    </row>
    <row r="344" spans="5:8" ht="14.25" customHeight="1" x14ac:dyDescent="0.25">
      <c r="E344" s="2"/>
      <c r="H344"/>
    </row>
    <row r="345" spans="5:8" ht="14.25" customHeight="1" x14ac:dyDescent="0.25">
      <c r="E345" s="2"/>
      <c r="H345"/>
    </row>
    <row r="346" spans="5:8" ht="14.25" customHeight="1" x14ac:dyDescent="0.25">
      <c r="E346" s="2"/>
      <c r="H346"/>
    </row>
    <row r="347" spans="5:8" ht="14.25" customHeight="1" x14ac:dyDescent="0.25">
      <c r="E347" s="2"/>
      <c r="H347"/>
    </row>
    <row r="348" spans="5:8" ht="14.25" customHeight="1" x14ac:dyDescent="0.25">
      <c r="E348" s="2"/>
      <c r="H348"/>
    </row>
    <row r="349" spans="5:8" ht="14.25" customHeight="1" x14ac:dyDescent="0.25">
      <c r="E349" s="2"/>
      <c r="H349"/>
    </row>
    <row r="350" spans="5:8" ht="14.25" customHeight="1" x14ac:dyDescent="0.25">
      <c r="E350" s="2"/>
      <c r="H350"/>
    </row>
    <row r="351" spans="5:8" ht="14.25" customHeight="1" x14ac:dyDescent="0.25">
      <c r="E351" s="2"/>
      <c r="H351"/>
    </row>
    <row r="352" spans="5:8" ht="14.25" customHeight="1" x14ac:dyDescent="0.25">
      <c r="E352" s="2"/>
      <c r="H352"/>
    </row>
    <row r="353" spans="5:8" ht="14.25" customHeight="1" x14ac:dyDescent="0.25">
      <c r="E353" s="2"/>
      <c r="H353"/>
    </row>
    <row r="354" spans="5:8" ht="14.25" customHeight="1" x14ac:dyDescent="0.25">
      <c r="E354" s="2"/>
      <c r="H354"/>
    </row>
    <row r="355" spans="5:8" ht="14.25" customHeight="1" x14ac:dyDescent="0.25">
      <c r="E355" s="2"/>
      <c r="H355"/>
    </row>
    <row r="356" spans="5:8" ht="14.25" customHeight="1" x14ac:dyDescent="0.25">
      <c r="E356" s="2"/>
      <c r="H356"/>
    </row>
    <row r="357" spans="5:8" ht="14.25" customHeight="1" x14ac:dyDescent="0.25">
      <c r="E357" s="2"/>
      <c r="H357"/>
    </row>
    <row r="358" spans="5:8" ht="14.25" customHeight="1" x14ac:dyDescent="0.25">
      <c r="E358" s="2"/>
      <c r="H358"/>
    </row>
    <row r="359" spans="5:8" ht="14.25" customHeight="1" x14ac:dyDescent="0.25">
      <c r="E359" s="2"/>
      <c r="H359"/>
    </row>
    <row r="360" spans="5:8" ht="14.25" customHeight="1" x14ac:dyDescent="0.25">
      <c r="E360" s="2"/>
      <c r="H360"/>
    </row>
    <row r="361" spans="5:8" ht="14.25" customHeight="1" x14ac:dyDescent="0.25">
      <c r="E361" s="2"/>
      <c r="H361"/>
    </row>
    <row r="362" spans="5:8" ht="14.25" customHeight="1" x14ac:dyDescent="0.25">
      <c r="E362" s="2"/>
      <c r="H362"/>
    </row>
    <row r="363" spans="5:8" ht="14.25" customHeight="1" x14ac:dyDescent="0.25">
      <c r="E363" s="2"/>
      <c r="H363"/>
    </row>
    <row r="364" spans="5:8" ht="14.25" customHeight="1" x14ac:dyDescent="0.25">
      <c r="E364" s="2"/>
      <c r="H364"/>
    </row>
    <row r="365" spans="5:8" ht="14.25" customHeight="1" x14ac:dyDescent="0.25">
      <c r="E365" s="2"/>
      <c r="H365"/>
    </row>
    <row r="366" spans="5:8" ht="14.25" customHeight="1" x14ac:dyDescent="0.25">
      <c r="E366" s="2"/>
      <c r="H366"/>
    </row>
    <row r="367" spans="5:8" ht="14.25" customHeight="1" x14ac:dyDescent="0.25">
      <c r="E367" s="2"/>
      <c r="H367"/>
    </row>
    <row r="368" spans="5:8" ht="14.25" customHeight="1" x14ac:dyDescent="0.25">
      <c r="E368" s="2"/>
      <c r="H368"/>
    </row>
    <row r="369" spans="5:8" ht="14.25" customHeight="1" x14ac:dyDescent="0.25">
      <c r="E369" s="2"/>
      <c r="H369"/>
    </row>
    <row r="370" spans="5:8" ht="14.25" customHeight="1" x14ac:dyDescent="0.25">
      <c r="E370" s="2"/>
      <c r="H370"/>
    </row>
    <row r="371" spans="5:8" ht="14.25" customHeight="1" x14ac:dyDescent="0.25">
      <c r="E371" s="2"/>
      <c r="H371"/>
    </row>
    <row r="372" spans="5:8" ht="14.25" customHeight="1" x14ac:dyDescent="0.25">
      <c r="E372" s="2"/>
      <c r="H372"/>
    </row>
    <row r="373" spans="5:8" ht="14.25" customHeight="1" x14ac:dyDescent="0.25">
      <c r="E373" s="2"/>
      <c r="H373"/>
    </row>
    <row r="374" spans="5:8" ht="14.25" customHeight="1" x14ac:dyDescent="0.25">
      <c r="E374" s="2"/>
      <c r="H374"/>
    </row>
    <row r="375" spans="5:8" ht="14.25" customHeight="1" x14ac:dyDescent="0.25">
      <c r="E375" s="2"/>
      <c r="H375"/>
    </row>
    <row r="376" spans="5:8" ht="14.25" customHeight="1" x14ac:dyDescent="0.25">
      <c r="E376" s="2"/>
      <c r="H376"/>
    </row>
    <row r="377" spans="5:8" ht="14.25" customHeight="1" x14ac:dyDescent="0.25">
      <c r="E377" s="2"/>
      <c r="H377"/>
    </row>
    <row r="378" spans="5:8" ht="14.25" customHeight="1" x14ac:dyDescent="0.25">
      <c r="E378" s="2"/>
      <c r="H378"/>
    </row>
    <row r="379" spans="5:8" ht="14.25" customHeight="1" x14ac:dyDescent="0.25">
      <c r="E379" s="2"/>
      <c r="H379"/>
    </row>
    <row r="380" spans="5:8" ht="14.25" customHeight="1" x14ac:dyDescent="0.25">
      <c r="E380" s="2"/>
      <c r="H380"/>
    </row>
    <row r="381" spans="5:8" ht="14.25" customHeight="1" x14ac:dyDescent="0.25">
      <c r="E381" s="2"/>
      <c r="H381"/>
    </row>
    <row r="382" spans="5:8" ht="14.25" customHeight="1" x14ac:dyDescent="0.25">
      <c r="E382" s="2"/>
      <c r="H382"/>
    </row>
    <row r="383" spans="5:8" ht="14.25" customHeight="1" x14ac:dyDescent="0.25">
      <c r="E383" s="2"/>
      <c r="H383"/>
    </row>
    <row r="384" spans="5:8" ht="14.25" customHeight="1" x14ac:dyDescent="0.25">
      <c r="E384" s="2"/>
      <c r="H384"/>
    </row>
    <row r="385" spans="5:8" ht="14.25" customHeight="1" x14ac:dyDescent="0.25">
      <c r="E385" s="2"/>
      <c r="H385"/>
    </row>
    <row r="386" spans="5:8" ht="14.25" customHeight="1" x14ac:dyDescent="0.25">
      <c r="E386" s="2"/>
      <c r="H386"/>
    </row>
    <row r="387" spans="5:8" ht="14.25" customHeight="1" x14ac:dyDescent="0.25">
      <c r="E387" s="2"/>
      <c r="H387"/>
    </row>
    <row r="388" spans="5:8" ht="14.25" customHeight="1" x14ac:dyDescent="0.25">
      <c r="E388" s="2"/>
      <c r="H388"/>
    </row>
    <row r="389" spans="5:8" ht="14.25" customHeight="1" x14ac:dyDescent="0.25">
      <c r="E389" s="2"/>
      <c r="H389"/>
    </row>
    <row r="390" spans="5:8" ht="14.25" customHeight="1" x14ac:dyDescent="0.25">
      <c r="E390" s="2"/>
      <c r="H390"/>
    </row>
    <row r="391" spans="5:8" ht="14.25" customHeight="1" x14ac:dyDescent="0.25">
      <c r="E391" s="2"/>
      <c r="H391"/>
    </row>
    <row r="392" spans="5:8" ht="14.25" customHeight="1" x14ac:dyDescent="0.25">
      <c r="E392" s="2"/>
      <c r="H392"/>
    </row>
    <row r="393" spans="5:8" ht="14.25" customHeight="1" x14ac:dyDescent="0.25">
      <c r="E393" s="2"/>
      <c r="H393"/>
    </row>
    <row r="394" spans="5:8" ht="14.25" customHeight="1" x14ac:dyDescent="0.25">
      <c r="E394" s="2"/>
      <c r="H394"/>
    </row>
    <row r="395" spans="5:8" ht="14.25" customHeight="1" x14ac:dyDescent="0.25">
      <c r="E395" s="2"/>
      <c r="H395"/>
    </row>
    <row r="396" spans="5:8" ht="14.25" customHeight="1" x14ac:dyDescent="0.25">
      <c r="E396" s="2"/>
      <c r="H396"/>
    </row>
    <row r="397" spans="5:8" ht="14.25" customHeight="1" x14ac:dyDescent="0.25">
      <c r="E397" s="2"/>
      <c r="H397"/>
    </row>
    <row r="398" spans="5:8" ht="14.25" customHeight="1" x14ac:dyDescent="0.25">
      <c r="E398" s="2"/>
      <c r="H398"/>
    </row>
    <row r="399" spans="5:8" ht="14.25" customHeight="1" x14ac:dyDescent="0.25">
      <c r="E399" s="2"/>
      <c r="H399"/>
    </row>
    <row r="400" spans="5:8" ht="14.25" customHeight="1" x14ac:dyDescent="0.25">
      <c r="E400" s="2"/>
      <c r="H400"/>
    </row>
    <row r="401" spans="5:8" ht="14.25" customHeight="1" x14ac:dyDescent="0.25">
      <c r="E401" s="2"/>
      <c r="H401"/>
    </row>
    <row r="402" spans="5:8" ht="14.25" customHeight="1" x14ac:dyDescent="0.25">
      <c r="E402" s="2"/>
      <c r="H402"/>
    </row>
    <row r="403" spans="5:8" ht="14.25" customHeight="1" x14ac:dyDescent="0.25">
      <c r="E403" s="2"/>
      <c r="H403"/>
    </row>
    <row r="404" spans="5:8" ht="14.25" customHeight="1" x14ac:dyDescent="0.25">
      <c r="E404" s="2"/>
      <c r="H404"/>
    </row>
    <row r="405" spans="5:8" ht="14.25" customHeight="1" x14ac:dyDescent="0.25">
      <c r="E405" s="2"/>
      <c r="H405"/>
    </row>
    <row r="406" spans="5:8" ht="14.25" customHeight="1" x14ac:dyDescent="0.25">
      <c r="E406" s="2"/>
      <c r="H406"/>
    </row>
    <row r="407" spans="5:8" ht="14.25" customHeight="1" x14ac:dyDescent="0.25">
      <c r="E407" s="2"/>
      <c r="H407"/>
    </row>
    <row r="408" spans="5:8" ht="14.25" customHeight="1" x14ac:dyDescent="0.25">
      <c r="E408" s="2"/>
      <c r="H408"/>
    </row>
    <row r="409" spans="5:8" ht="14.25" customHeight="1" x14ac:dyDescent="0.25">
      <c r="E409" s="2"/>
      <c r="H409"/>
    </row>
    <row r="410" spans="5:8" ht="14.25" customHeight="1" x14ac:dyDescent="0.25">
      <c r="E410" s="2"/>
      <c r="H410"/>
    </row>
    <row r="411" spans="5:8" ht="14.25" customHeight="1" x14ac:dyDescent="0.25">
      <c r="E411" s="2"/>
      <c r="H411"/>
    </row>
    <row r="412" spans="5:8" ht="14.25" customHeight="1" x14ac:dyDescent="0.25">
      <c r="E412" s="2"/>
      <c r="H412"/>
    </row>
    <row r="413" spans="5:8" ht="14.25" customHeight="1" x14ac:dyDescent="0.25">
      <c r="E413" s="2"/>
      <c r="H413"/>
    </row>
    <row r="414" spans="5:8" ht="14.25" customHeight="1" x14ac:dyDescent="0.25">
      <c r="E414" s="2"/>
      <c r="H414"/>
    </row>
    <row r="415" spans="5:8" ht="14.25" customHeight="1" x14ac:dyDescent="0.25">
      <c r="E415" s="2"/>
      <c r="H415"/>
    </row>
    <row r="416" spans="5:8" ht="14.25" customHeight="1" x14ac:dyDescent="0.25">
      <c r="E416" s="2"/>
      <c r="H416"/>
    </row>
    <row r="417" spans="5:8" ht="14.25" customHeight="1" x14ac:dyDescent="0.25">
      <c r="E417" s="2"/>
      <c r="H417"/>
    </row>
    <row r="418" spans="5:8" ht="14.25" customHeight="1" x14ac:dyDescent="0.25">
      <c r="E418" s="2"/>
      <c r="H418"/>
    </row>
    <row r="419" spans="5:8" ht="14.25" customHeight="1" x14ac:dyDescent="0.25">
      <c r="E419" s="2"/>
      <c r="H419"/>
    </row>
    <row r="420" spans="5:8" ht="14.25" customHeight="1" x14ac:dyDescent="0.25">
      <c r="E420" s="2"/>
      <c r="H420"/>
    </row>
    <row r="421" spans="5:8" ht="14.25" customHeight="1" x14ac:dyDescent="0.25">
      <c r="E421" s="2"/>
      <c r="H421"/>
    </row>
    <row r="422" spans="5:8" ht="14.25" customHeight="1" x14ac:dyDescent="0.25">
      <c r="E422" s="2"/>
      <c r="H422"/>
    </row>
    <row r="423" spans="5:8" ht="14.25" customHeight="1" x14ac:dyDescent="0.25">
      <c r="E423" s="2"/>
      <c r="H423"/>
    </row>
    <row r="424" spans="5:8" ht="14.25" customHeight="1" x14ac:dyDescent="0.25">
      <c r="E424" s="2"/>
      <c r="H424"/>
    </row>
    <row r="425" spans="5:8" ht="14.25" customHeight="1" x14ac:dyDescent="0.25">
      <c r="E425" s="2"/>
      <c r="H425"/>
    </row>
    <row r="426" spans="5:8" ht="14.25" customHeight="1" x14ac:dyDescent="0.25">
      <c r="E426" s="2"/>
      <c r="H426"/>
    </row>
    <row r="427" spans="5:8" ht="14.25" customHeight="1" x14ac:dyDescent="0.25">
      <c r="E427" s="2"/>
      <c r="H427"/>
    </row>
    <row r="428" spans="5:8" ht="14.25" customHeight="1" x14ac:dyDescent="0.25">
      <c r="E428" s="2"/>
      <c r="H428"/>
    </row>
    <row r="429" spans="5:8" ht="14.25" customHeight="1" x14ac:dyDescent="0.25">
      <c r="E429" s="2"/>
      <c r="H429"/>
    </row>
    <row r="430" spans="5:8" ht="14.25" customHeight="1" x14ac:dyDescent="0.25">
      <c r="E430" s="2"/>
      <c r="H430"/>
    </row>
    <row r="431" spans="5:8" ht="14.25" customHeight="1" x14ac:dyDescent="0.25">
      <c r="E431" s="2"/>
      <c r="H431"/>
    </row>
    <row r="432" spans="5:8" ht="14.25" customHeight="1" x14ac:dyDescent="0.25">
      <c r="E432" s="2"/>
      <c r="H432"/>
    </row>
    <row r="433" spans="5:8" ht="14.25" customHeight="1" x14ac:dyDescent="0.25">
      <c r="E433" s="2"/>
      <c r="H433"/>
    </row>
    <row r="434" spans="5:8" ht="14.25" customHeight="1" x14ac:dyDescent="0.25">
      <c r="E434" s="2"/>
      <c r="H434"/>
    </row>
    <row r="435" spans="5:8" ht="14.25" customHeight="1" x14ac:dyDescent="0.25">
      <c r="E435" s="2"/>
      <c r="H435"/>
    </row>
    <row r="436" spans="5:8" ht="14.25" customHeight="1" x14ac:dyDescent="0.25">
      <c r="E436" s="2"/>
      <c r="H436"/>
    </row>
    <row r="437" spans="5:8" ht="14.25" customHeight="1" x14ac:dyDescent="0.25">
      <c r="E437" s="2"/>
      <c r="H437"/>
    </row>
    <row r="438" spans="5:8" ht="14.25" customHeight="1" x14ac:dyDescent="0.25">
      <c r="E438" s="2"/>
      <c r="H438"/>
    </row>
    <row r="439" spans="5:8" ht="14.25" customHeight="1" x14ac:dyDescent="0.25">
      <c r="E439" s="2"/>
      <c r="H439"/>
    </row>
    <row r="440" spans="5:8" ht="14.25" customHeight="1" x14ac:dyDescent="0.25">
      <c r="E440" s="2"/>
      <c r="H440"/>
    </row>
    <row r="441" spans="5:8" ht="14.25" customHeight="1" x14ac:dyDescent="0.25">
      <c r="E441" s="2"/>
      <c r="H441"/>
    </row>
    <row r="442" spans="5:8" ht="14.25" customHeight="1" x14ac:dyDescent="0.25">
      <c r="E442" s="2"/>
      <c r="H442"/>
    </row>
    <row r="443" spans="5:8" ht="14.25" customHeight="1" x14ac:dyDescent="0.25">
      <c r="E443" s="2"/>
      <c r="H443"/>
    </row>
    <row r="444" spans="5:8" ht="14.25" customHeight="1" x14ac:dyDescent="0.25">
      <c r="E444" s="2"/>
      <c r="H444"/>
    </row>
    <row r="445" spans="5:8" ht="14.25" customHeight="1" x14ac:dyDescent="0.25">
      <c r="E445" s="2"/>
      <c r="H445"/>
    </row>
    <row r="446" spans="5:8" ht="14.25" customHeight="1" x14ac:dyDescent="0.25">
      <c r="E446" s="2"/>
      <c r="H446"/>
    </row>
    <row r="447" spans="5:8" ht="14.25" customHeight="1" x14ac:dyDescent="0.25">
      <c r="E447" s="2"/>
      <c r="H447"/>
    </row>
    <row r="448" spans="5:8" ht="14.25" customHeight="1" x14ac:dyDescent="0.25">
      <c r="E448" s="2"/>
      <c r="H448"/>
    </row>
    <row r="449" spans="5:8" ht="14.25" customHeight="1" x14ac:dyDescent="0.25">
      <c r="E449" s="2"/>
      <c r="H449"/>
    </row>
    <row r="450" spans="5:8" ht="14.25" customHeight="1" x14ac:dyDescent="0.25">
      <c r="E450" s="2"/>
      <c r="H450"/>
    </row>
    <row r="451" spans="5:8" ht="14.25" customHeight="1" x14ac:dyDescent="0.25">
      <c r="E451" s="2"/>
      <c r="H451"/>
    </row>
    <row r="452" spans="5:8" ht="14.25" customHeight="1" x14ac:dyDescent="0.25">
      <c r="E452" s="2"/>
      <c r="H452"/>
    </row>
    <row r="453" spans="5:8" ht="14.25" customHeight="1" x14ac:dyDescent="0.25">
      <c r="E453" s="2"/>
      <c r="H453"/>
    </row>
    <row r="454" spans="5:8" ht="14.25" customHeight="1" x14ac:dyDescent="0.25">
      <c r="E454" s="2"/>
      <c r="H454"/>
    </row>
    <row r="455" spans="5:8" ht="14.25" customHeight="1" x14ac:dyDescent="0.25">
      <c r="E455" s="2"/>
      <c r="H455"/>
    </row>
    <row r="456" spans="5:8" ht="14.25" customHeight="1" x14ac:dyDescent="0.25">
      <c r="E456" s="2"/>
      <c r="H456"/>
    </row>
    <row r="457" spans="5:8" ht="14.25" customHeight="1" x14ac:dyDescent="0.25">
      <c r="E457" s="2"/>
      <c r="H457"/>
    </row>
    <row r="458" spans="5:8" ht="14.25" customHeight="1" x14ac:dyDescent="0.25">
      <c r="E458" s="2"/>
      <c r="H458"/>
    </row>
    <row r="459" spans="5:8" ht="14.25" customHeight="1" x14ac:dyDescent="0.25">
      <c r="E459" s="2"/>
      <c r="H459"/>
    </row>
    <row r="460" spans="5:8" ht="14.25" customHeight="1" x14ac:dyDescent="0.25">
      <c r="E460" s="2"/>
      <c r="H460"/>
    </row>
    <row r="461" spans="5:8" ht="14.25" customHeight="1" x14ac:dyDescent="0.25">
      <c r="E461" s="2"/>
      <c r="H461"/>
    </row>
    <row r="462" spans="5:8" ht="14.25" customHeight="1" x14ac:dyDescent="0.25">
      <c r="E462" s="2"/>
      <c r="H462"/>
    </row>
    <row r="463" spans="5:8" ht="14.25" customHeight="1" x14ac:dyDescent="0.25">
      <c r="E463" s="2"/>
      <c r="H463"/>
    </row>
    <row r="464" spans="5:8" ht="14.25" customHeight="1" x14ac:dyDescent="0.25">
      <c r="E464" s="2"/>
      <c r="H464"/>
    </row>
    <row r="465" spans="5:8" ht="14.25" customHeight="1" x14ac:dyDescent="0.25">
      <c r="E465" s="2"/>
      <c r="H465"/>
    </row>
    <row r="466" spans="5:8" ht="14.25" customHeight="1" x14ac:dyDescent="0.25">
      <c r="E466" s="2"/>
      <c r="H466"/>
    </row>
    <row r="467" spans="5:8" ht="14.25" customHeight="1" x14ac:dyDescent="0.25">
      <c r="E467" s="2"/>
      <c r="H467"/>
    </row>
    <row r="468" spans="5:8" ht="14.25" customHeight="1" x14ac:dyDescent="0.25">
      <c r="E468" s="2"/>
      <c r="H468"/>
    </row>
    <row r="469" spans="5:8" ht="14.25" customHeight="1" x14ac:dyDescent="0.25">
      <c r="E469" s="2"/>
      <c r="H469"/>
    </row>
    <row r="470" spans="5:8" ht="14.25" customHeight="1" x14ac:dyDescent="0.25">
      <c r="E470" s="2"/>
      <c r="H470"/>
    </row>
    <row r="471" spans="5:8" ht="14.25" customHeight="1" x14ac:dyDescent="0.25">
      <c r="E471" s="2"/>
      <c r="H471"/>
    </row>
    <row r="472" spans="5:8" ht="14.25" customHeight="1" x14ac:dyDescent="0.25">
      <c r="E472" s="2"/>
      <c r="H472"/>
    </row>
    <row r="473" spans="5:8" ht="14.25" customHeight="1" x14ac:dyDescent="0.25">
      <c r="E473" s="2"/>
      <c r="H473"/>
    </row>
    <row r="474" spans="5:8" ht="14.25" customHeight="1" x14ac:dyDescent="0.25">
      <c r="E474" s="2"/>
      <c r="H474"/>
    </row>
    <row r="475" spans="5:8" ht="14.25" customHeight="1" x14ac:dyDescent="0.25">
      <c r="E475" s="2"/>
      <c r="H475"/>
    </row>
    <row r="476" spans="5:8" ht="14.25" customHeight="1" x14ac:dyDescent="0.25">
      <c r="E476" s="2"/>
      <c r="H476"/>
    </row>
    <row r="477" spans="5:8" ht="14.25" customHeight="1" x14ac:dyDescent="0.25">
      <c r="E477" s="2"/>
      <c r="H477"/>
    </row>
    <row r="478" spans="5:8" ht="14.25" customHeight="1" x14ac:dyDescent="0.25">
      <c r="E478" s="2"/>
      <c r="H478"/>
    </row>
    <row r="479" spans="5:8" ht="14.25" customHeight="1" x14ac:dyDescent="0.25">
      <c r="E479" s="2"/>
      <c r="H479"/>
    </row>
    <row r="480" spans="5:8" ht="14.25" customHeight="1" x14ac:dyDescent="0.25">
      <c r="E480" s="2"/>
      <c r="H480"/>
    </row>
    <row r="481" spans="5:8" ht="14.25" customHeight="1" x14ac:dyDescent="0.25">
      <c r="E481" s="2"/>
      <c r="H481"/>
    </row>
    <row r="482" spans="5:8" ht="14.25" customHeight="1" x14ac:dyDescent="0.25">
      <c r="E482" s="2"/>
      <c r="H482"/>
    </row>
    <row r="483" spans="5:8" ht="14.25" customHeight="1" x14ac:dyDescent="0.25">
      <c r="E483" s="2"/>
      <c r="H483"/>
    </row>
    <row r="484" spans="5:8" ht="14.25" customHeight="1" x14ac:dyDescent="0.25">
      <c r="E484" s="2"/>
      <c r="H484"/>
    </row>
    <row r="485" spans="5:8" ht="14.25" customHeight="1" x14ac:dyDescent="0.25">
      <c r="E485" s="2"/>
      <c r="H485"/>
    </row>
    <row r="486" spans="5:8" ht="14.25" customHeight="1" x14ac:dyDescent="0.25">
      <c r="E486" s="2"/>
      <c r="H486"/>
    </row>
    <row r="487" spans="5:8" ht="14.25" customHeight="1" x14ac:dyDescent="0.25">
      <c r="E487" s="2"/>
      <c r="H487"/>
    </row>
    <row r="488" spans="5:8" ht="14.25" customHeight="1" x14ac:dyDescent="0.25">
      <c r="E488" s="2"/>
      <c r="H488"/>
    </row>
    <row r="489" spans="5:8" ht="14.25" customHeight="1" x14ac:dyDescent="0.25">
      <c r="E489" s="2"/>
      <c r="H489"/>
    </row>
    <row r="490" spans="5:8" ht="14.25" customHeight="1" x14ac:dyDescent="0.25">
      <c r="E490" s="2"/>
      <c r="H490"/>
    </row>
    <row r="491" spans="5:8" ht="14.25" customHeight="1" x14ac:dyDescent="0.25">
      <c r="E491" s="2"/>
      <c r="H491"/>
    </row>
    <row r="492" spans="5:8" ht="14.25" customHeight="1" x14ac:dyDescent="0.25">
      <c r="E492" s="2"/>
      <c r="H492"/>
    </row>
    <row r="493" spans="5:8" ht="14.25" customHeight="1" x14ac:dyDescent="0.25">
      <c r="E493" s="2"/>
      <c r="H493"/>
    </row>
    <row r="494" spans="5:8" ht="14.25" customHeight="1" x14ac:dyDescent="0.25">
      <c r="E494" s="2"/>
      <c r="H494"/>
    </row>
    <row r="495" spans="5:8" ht="14.25" customHeight="1" x14ac:dyDescent="0.25">
      <c r="E495" s="2"/>
      <c r="H495"/>
    </row>
    <row r="496" spans="5:8" ht="14.25" customHeight="1" x14ac:dyDescent="0.25">
      <c r="E496" s="2"/>
      <c r="H496"/>
    </row>
    <row r="497" spans="5:8" ht="14.25" customHeight="1" x14ac:dyDescent="0.25">
      <c r="E497" s="2"/>
      <c r="H497"/>
    </row>
    <row r="498" spans="5:8" ht="14.25" customHeight="1" x14ac:dyDescent="0.25">
      <c r="E498" s="2"/>
      <c r="H498"/>
    </row>
    <row r="499" spans="5:8" ht="14.25" customHeight="1" x14ac:dyDescent="0.25">
      <c r="E499" s="2"/>
      <c r="H499"/>
    </row>
    <row r="500" spans="5:8" ht="14.25" customHeight="1" x14ac:dyDescent="0.25">
      <c r="E500" s="2"/>
      <c r="H500"/>
    </row>
    <row r="501" spans="5:8" ht="14.25" customHeight="1" x14ac:dyDescent="0.25">
      <c r="E501" s="2"/>
      <c r="H501"/>
    </row>
    <row r="502" spans="5:8" ht="14.25" customHeight="1" x14ac:dyDescent="0.25">
      <c r="E502" s="2"/>
      <c r="H502"/>
    </row>
    <row r="503" spans="5:8" ht="14.25" customHeight="1" x14ac:dyDescent="0.25">
      <c r="E503" s="2"/>
      <c r="H503"/>
    </row>
    <row r="504" spans="5:8" ht="14.25" customHeight="1" x14ac:dyDescent="0.25">
      <c r="E504" s="2"/>
      <c r="H504"/>
    </row>
    <row r="505" spans="5:8" ht="14.25" customHeight="1" x14ac:dyDescent="0.25">
      <c r="E505" s="2"/>
      <c r="H505"/>
    </row>
    <row r="506" spans="5:8" ht="14.25" customHeight="1" x14ac:dyDescent="0.25">
      <c r="E506" s="2"/>
      <c r="H506"/>
    </row>
    <row r="507" spans="5:8" ht="14.25" customHeight="1" x14ac:dyDescent="0.25">
      <c r="E507" s="2"/>
      <c r="H507"/>
    </row>
    <row r="508" spans="5:8" ht="14.25" customHeight="1" x14ac:dyDescent="0.25">
      <c r="E508" s="2"/>
      <c r="H508"/>
    </row>
    <row r="509" spans="5:8" ht="14.25" customHeight="1" x14ac:dyDescent="0.25">
      <c r="E509" s="2"/>
      <c r="H509"/>
    </row>
    <row r="510" spans="5:8" ht="14.25" customHeight="1" x14ac:dyDescent="0.25">
      <c r="E510" s="2"/>
      <c r="H510"/>
    </row>
    <row r="511" spans="5:8" ht="14.25" customHeight="1" x14ac:dyDescent="0.25">
      <c r="E511" s="2"/>
      <c r="H511"/>
    </row>
    <row r="512" spans="5:8" ht="14.25" customHeight="1" x14ac:dyDescent="0.25">
      <c r="E512" s="2"/>
      <c r="H512"/>
    </row>
    <row r="513" spans="5:8" ht="14.25" customHeight="1" x14ac:dyDescent="0.25">
      <c r="E513" s="2"/>
      <c r="H513"/>
    </row>
    <row r="514" spans="5:8" ht="14.25" customHeight="1" x14ac:dyDescent="0.25">
      <c r="E514" s="2"/>
      <c r="H514"/>
    </row>
    <row r="515" spans="5:8" ht="14.25" customHeight="1" x14ac:dyDescent="0.25">
      <c r="E515" s="2"/>
      <c r="H515"/>
    </row>
    <row r="516" spans="5:8" ht="14.25" customHeight="1" x14ac:dyDescent="0.25">
      <c r="E516" s="2"/>
      <c r="H516"/>
    </row>
    <row r="517" spans="5:8" ht="14.25" customHeight="1" x14ac:dyDescent="0.25">
      <c r="E517" s="2"/>
      <c r="H517"/>
    </row>
    <row r="518" spans="5:8" ht="14.25" customHeight="1" x14ac:dyDescent="0.25">
      <c r="E518" s="2"/>
      <c r="H518"/>
    </row>
    <row r="519" spans="5:8" ht="14.25" customHeight="1" x14ac:dyDescent="0.25">
      <c r="E519" s="2"/>
      <c r="H519"/>
    </row>
    <row r="520" spans="5:8" ht="14.25" customHeight="1" x14ac:dyDescent="0.25">
      <c r="E520" s="2"/>
      <c r="H520"/>
    </row>
    <row r="521" spans="5:8" ht="14.25" customHeight="1" x14ac:dyDescent="0.25">
      <c r="E521" s="2"/>
      <c r="H521"/>
    </row>
    <row r="522" spans="5:8" ht="14.25" customHeight="1" x14ac:dyDescent="0.25">
      <c r="E522" s="2"/>
      <c r="H522"/>
    </row>
    <row r="523" spans="5:8" ht="14.25" customHeight="1" x14ac:dyDescent="0.25">
      <c r="E523" s="2"/>
      <c r="H523"/>
    </row>
    <row r="524" spans="5:8" ht="14.25" customHeight="1" x14ac:dyDescent="0.25">
      <c r="E524" s="2"/>
      <c r="H524"/>
    </row>
    <row r="525" spans="5:8" ht="14.25" customHeight="1" x14ac:dyDescent="0.25">
      <c r="E525" s="2"/>
      <c r="H525"/>
    </row>
    <row r="526" spans="5:8" ht="14.25" customHeight="1" x14ac:dyDescent="0.25">
      <c r="E526" s="2"/>
      <c r="H526"/>
    </row>
    <row r="527" spans="5:8" ht="14.25" customHeight="1" x14ac:dyDescent="0.25">
      <c r="E527" s="2"/>
      <c r="H527"/>
    </row>
    <row r="528" spans="5:8" ht="14.25" customHeight="1" x14ac:dyDescent="0.25">
      <c r="E528" s="2"/>
      <c r="H528"/>
    </row>
    <row r="529" spans="5:8" ht="14.25" customHeight="1" x14ac:dyDescent="0.25">
      <c r="E529" s="2"/>
      <c r="H529"/>
    </row>
    <row r="530" spans="5:8" ht="14.25" customHeight="1" x14ac:dyDescent="0.25">
      <c r="E530" s="2"/>
      <c r="H530"/>
    </row>
    <row r="531" spans="5:8" ht="14.25" customHeight="1" x14ac:dyDescent="0.25">
      <c r="E531" s="2"/>
      <c r="H531"/>
    </row>
    <row r="532" spans="5:8" ht="14.25" customHeight="1" x14ac:dyDescent="0.25">
      <c r="E532" s="2"/>
      <c r="H532"/>
    </row>
    <row r="533" spans="5:8" ht="14.25" customHeight="1" x14ac:dyDescent="0.25">
      <c r="E533" s="2"/>
      <c r="H533"/>
    </row>
    <row r="534" spans="5:8" ht="14.25" customHeight="1" x14ac:dyDescent="0.25">
      <c r="E534" s="2"/>
      <c r="H534"/>
    </row>
    <row r="535" spans="5:8" ht="14.25" customHeight="1" x14ac:dyDescent="0.25">
      <c r="E535" s="2"/>
      <c r="H535"/>
    </row>
    <row r="536" spans="5:8" ht="14.25" customHeight="1" x14ac:dyDescent="0.25">
      <c r="E536" s="2"/>
      <c r="H536"/>
    </row>
    <row r="537" spans="5:8" ht="14.25" customHeight="1" x14ac:dyDescent="0.25">
      <c r="E537" s="2"/>
      <c r="H537"/>
    </row>
    <row r="538" spans="5:8" ht="14.25" customHeight="1" x14ac:dyDescent="0.25">
      <c r="E538" s="2"/>
      <c r="H538"/>
    </row>
    <row r="539" spans="5:8" ht="14.25" customHeight="1" x14ac:dyDescent="0.25">
      <c r="E539" s="2"/>
      <c r="H539"/>
    </row>
    <row r="540" spans="5:8" ht="14.25" customHeight="1" x14ac:dyDescent="0.25">
      <c r="E540" s="2"/>
      <c r="H540"/>
    </row>
    <row r="541" spans="5:8" ht="14.25" customHeight="1" x14ac:dyDescent="0.25">
      <c r="E541" s="2"/>
      <c r="H541"/>
    </row>
    <row r="542" spans="5:8" ht="14.25" customHeight="1" x14ac:dyDescent="0.25">
      <c r="E542" s="2"/>
      <c r="H542"/>
    </row>
    <row r="543" spans="5:8" ht="14.25" customHeight="1" x14ac:dyDescent="0.25">
      <c r="E543" s="2"/>
      <c r="H543"/>
    </row>
    <row r="544" spans="5:8" ht="14.25" customHeight="1" x14ac:dyDescent="0.25">
      <c r="E544" s="2"/>
      <c r="H544"/>
    </row>
    <row r="545" spans="5:8" ht="14.25" customHeight="1" x14ac:dyDescent="0.25">
      <c r="E545" s="2"/>
      <c r="H545"/>
    </row>
    <row r="546" spans="5:8" ht="14.25" customHeight="1" x14ac:dyDescent="0.25">
      <c r="E546" s="2"/>
      <c r="H546"/>
    </row>
    <row r="547" spans="5:8" ht="14.25" customHeight="1" x14ac:dyDescent="0.25">
      <c r="E547" s="2"/>
      <c r="H547"/>
    </row>
    <row r="548" spans="5:8" ht="14.25" customHeight="1" x14ac:dyDescent="0.25">
      <c r="E548" s="2"/>
      <c r="H548"/>
    </row>
    <row r="549" spans="5:8" ht="14.25" customHeight="1" x14ac:dyDescent="0.25">
      <c r="E549" s="2"/>
      <c r="H549"/>
    </row>
    <row r="550" spans="5:8" ht="14.25" customHeight="1" x14ac:dyDescent="0.25">
      <c r="E550" s="2"/>
      <c r="H550"/>
    </row>
    <row r="551" spans="5:8" ht="14.25" customHeight="1" x14ac:dyDescent="0.25">
      <c r="E551" s="2"/>
      <c r="H551"/>
    </row>
    <row r="552" spans="5:8" ht="14.25" customHeight="1" x14ac:dyDescent="0.25">
      <c r="E552" s="2"/>
      <c r="H552"/>
    </row>
    <row r="553" spans="5:8" ht="14.25" customHeight="1" x14ac:dyDescent="0.25">
      <c r="E553" s="2"/>
      <c r="H553"/>
    </row>
    <row r="554" spans="5:8" ht="14.25" customHeight="1" x14ac:dyDescent="0.25">
      <c r="E554" s="2"/>
      <c r="H554"/>
    </row>
    <row r="555" spans="5:8" ht="14.25" customHeight="1" x14ac:dyDescent="0.25">
      <c r="E555" s="2"/>
      <c r="H555"/>
    </row>
    <row r="556" spans="5:8" ht="14.25" customHeight="1" x14ac:dyDescent="0.25">
      <c r="E556" s="2"/>
      <c r="H556"/>
    </row>
    <row r="557" spans="5:8" ht="14.25" customHeight="1" x14ac:dyDescent="0.25">
      <c r="E557" s="2"/>
      <c r="H557"/>
    </row>
    <row r="558" spans="5:8" ht="14.25" customHeight="1" x14ac:dyDescent="0.25">
      <c r="E558" s="2"/>
      <c r="H558"/>
    </row>
    <row r="559" spans="5:8" ht="14.25" customHeight="1" x14ac:dyDescent="0.25">
      <c r="E559" s="2"/>
      <c r="H559"/>
    </row>
    <row r="560" spans="5:8" ht="14.25" customHeight="1" x14ac:dyDescent="0.25">
      <c r="E560" s="2"/>
      <c r="H560"/>
    </row>
    <row r="561" spans="5:8" ht="14.25" customHeight="1" x14ac:dyDescent="0.25">
      <c r="E561" s="2"/>
      <c r="H561"/>
    </row>
    <row r="562" spans="5:8" ht="14.25" customHeight="1" x14ac:dyDescent="0.25">
      <c r="E562" s="2"/>
      <c r="H562"/>
    </row>
    <row r="563" spans="5:8" ht="14.25" customHeight="1" x14ac:dyDescent="0.25">
      <c r="E563" s="2"/>
      <c r="H563"/>
    </row>
    <row r="564" spans="5:8" ht="14.25" customHeight="1" x14ac:dyDescent="0.25">
      <c r="E564" s="2"/>
      <c r="H564"/>
    </row>
    <row r="565" spans="5:8" ht="14.25" customHeight="1" x14ac:dyDescent="0.25">
      <c r="E565" s="2"/>
      <c r="H565"/>
    </row>
    <row r="566" spans="5:8" ht="14.25" customHeight="1" x14ac:dyDescent="0.25">
      <c r="E566" s="2"/>
      <c r="H566"/>
    </row>
    <row r="567" spans="5:8" ht="14.25" customHeight="1" x14ac:dyDescent="0.25">
      <c r="E567" s="2"/>
      <c r="H567"/>
    </row>
    <row r="568" spans="5:8" ht="14.25" customHeight="1" x14ac:dyDescent="0.25">
      <c r="E568" s="2"/>
      <c r="H568"/>
    </row>
    <row r="569" spans="5:8" ht="14.25" customHeight="1" x14ac:dyDescent="0.25">
      <c r="E569" s="2"/>
      <c r="H569"/>
    </row>
    <row r="570" spans="5:8" ht="14.25" customHeight="1" x14ac:dyDescent="0.25">
      <c r="E570" s="2"/>
      <c r="H570"/>
    </row>
    <row r="571" spans="5:8" ht="14.25" customHeight="1" x14ac:dyDescent="0.25">
      <c r="E571" s="2"/>
      <c r="H571"/>
    </row>
    <row r="572" spans="5:8" ht="14.25" customHeight="1" x14ac:dyDescent="0.25">
      <c r="E572" s="2"/>
      <c r="H572"/>
    </row>
    <row r="573" spans="5:8" ht="14.25" customHeight="1" x14ac:dyDescent="0.25">
      <c r="E573" s="2"/>
      <c r="H573"/>
    </row>
    <row r="574" spans="5:8" ht="14.25" customHeight="1" x14ac:dyDescent="0.25">
      <c r="E574" s="2"/>
      <c r="H574"/>
    </row>
    <row r="575" spans="5:8" ht="14.25" customHeight="1" x14ac:dyDescent="0.25">
      <c r="E575" s="2"/>
      <c r="H575"/>
    </row>
    <row r="576" spans="5:8" ht="14.25" customHeight="1" x14ac:dyDescent="0.25">
      <c r="E576" s="2"/>
      <c r="H576"/>
    </row>
    <row r="577" spans="5:8" ht="14.25" customHeight="1" x14ac:dyDescent="0.25">
      <c r="E577" s="2"/>
      <c r="H577"/>
    </row>
    <row r="578" spans="5:8" ht="14.25" customHeight="1" x14ac:dyDescent="0.25">
      <c r="E578" s="2"/>
      <c r="H578"/>
    </row>
    <row r="579" spans="5:8" ht="14.25" customHeight="1" x14ac:dyDescent="0.25">
      <c r="E579" s="2"/>
      <c r="H579"/>
    </row>
    <row r="580" spans="5:8" ht="14.25" customHeight="1" x14ac:dyDescent="0.25">
      <c r="E580" s="2"/>
      <c r="H580"/>
    </row>
    <row r="581" spans="5:8" ht="14.25" customHeight="1" x14ac:dyDescent="0.25">
      <c r="E581" s="2"/>
      <c r="H581"/>
    </row>
    <row r="582" spans="5:8" ht="14.25" customHeight="1" x14ac:dyDescent="0.25">
      <c r="E582" s="2"/>
      <c r="H582"/>
    </row>
    <row r="583" spans="5:8" ht="14.25" customHeight="1" x14ac:dyDescent="0.25">
      <c r="E583" s="2"/>
      <c r="H583"/>
    </row>
    <row r="584" spans="5:8" ht="14.25" customHeight="1" x14ac:dyDescent="0.25">
      <c r="E584" s="2"/>
      <c r="H584"/>
    </row>
    <row r="585" spans="5:8" ht="14.25" customHeight="1" x14ac:dyDescent="0.25">
      <c r="E585" s="2"/>
      <c r="H585"/>
    </row>
    <row r="586" spans="5:8" ht="14.25" customHeight="1" x14ac:dyDescent="0.25">
      <c r="E586" s="2"/>
      <c r="H586"/>
    </row>
    <row r="587" spans="5:8" ht="14.25" customHeight="1" x14ac:dyDescent="0.25">
      <c r="E587" s="2"/>
      <c r="H587"/>
    </row>
    <row r="588" spans="5:8" ht="14.25" customHeight="1" x14ac:dyDescent="0.25">
      <c r="E588" s="2"/>
      <c r="H588"/>
    </row>
    <row r="589" spans="5:8" ht="14.25" customHeight="1" x14ac:dyDescent="0.25">
      <c r="E589" s="2"/>
      <c r="H589"/>
    </row>
    <row r="590" spans="5:8" ht="14.25" customHeight="1" x14ac:dyDescent="0.25">
      <c r="E590" s="2"/>
      <c r="H590"/>
    </row>
    <row r="591" spans="5:8" ht="14.25" customHeight="1" x14ac:dyDescent="0.25">
      <c r="E591" s="2"/>
      <c r="H591"/>
    </row>
    <row r="592" spans="5:8" ht="14.25" customHeight="1" x14ac:dyDescent="0.25">
      <c r="E592" s="2"/>
      <c r="H592"/>
    </row>
    <row r="593" spans="5:8" ht="14.25" customHeight="1" x14ac:dyDescent="0.25">
      <c r="E593" s="2"/>
      <c r="H593"/>
    </row>
    <row r="594" spans="5:8" ht="14.25" customHeight="1" x14ac:dyDescent="0.25">
      <c r="E594" s="2"/>
      <c r="H594"/>
    </row>
    <row r="595" spans="5:8" ht="14.25" customHeight="1" x14ac:dyDescent="0.25">
      <c r="E595" s="2"/>
      <c r="H595"/>
    </row>
    <row r="596" spans="5:8" ht="14.25" customHeight="1" x14ac:dyDescent="0.25">
      <c r="E596" s="2"/>
      <c r="H596"/>
    </row>
    <row r="597" spans="5:8" ht="14.25" customHeight="1" x14ac:dyDescent="0.25">
      <c r="E597" s="2"/>
      <c r="H597"/>
    </row>
    <row r="598" spans="5:8" ht="14.25" customHeight="1" x14ac:dyDescent="0.25">
      <c r="E598" s="2"/>
      <c r="H598"/>
    </row>
    <row r="599" spans="5:8" ht="14.25" customHeight="1" x14ac:dyDescent="0.25">
      <c r="E599" s="2"/>
      <c r="H599"/>
    </row>
    <row r="600" spans="5:8" ht="14.25" customHeight="1" x14ac:dyDescent="0.25">
      <c r="E600" s="2"/>
      <c r="H600"/>
    </row>
    <row r="601" spans="5:8" ht="14.25" customHeight="1" x14ac:dyDescent="0.25">
      <c r="E601" s="2"/>
      <c r="H601"/>
    </row>
    <row r="602" spans="5:8" ht="14.25" customHeight="1" x14ac:dyDescent="0.25">
      <c r="E602" s="2"/>
      <c r="H602"/>
    </row>
    <row r="603" spans="5:8" ht="14.25" customHeight="1" x14ac:dyDescent="0.25">
      <c r="E603" s="2"/>
      <c r="H603"/>
    </row>
    <row r="604" spans="5:8" ht="14.25" customHeight="1" x14ac:dyDescent="0.25">
      <c r="E604" s="2"/>
      <c r="H604"/>
    </row>
    <row r="605" spans="5:8" ht="14.25" customHeight="1" x14ac:dyDescent="0.25">
      <c r="E605" s="2"/>
      <c r="H605"/>
    </row>
    <row r="606" spans="5:8" ht="14.25" customHeight="1" x14ac:dyDescent="0.25">
      <c r="E606" s="2"/>
      <c r="H606"/>
    </row>
    <row r="607" spans="5:8" ht="14.25" customHeight="1" x14ac:dyDescent="0.25">
      <c r="E607" s="2"/>
      <c r="H607"/>
    </row>
    <row r="608" spans="5:8" ht="14.25" customHeight="1" x14ac:dyDescent="0.25">
      <c r="E608" s="2"/>
      <c r="H608"/>
    </row>
    <row r="609" spans="5:8" ht="14.25" customHeight="1" x14ac:dyDescent="0.25">
      <c r="E609" s="2"/>
      <c r="H609"/>
    </row>
    <row r="610" spans="5:8" ht="14.25" customHeight="1" x14ac:dyDescent="0.25">
      <c r="E610" s="2"/>
      <c r="H610"/>
    </row>
    <row r="611" spans="5:8" ht="14.25" customHeight="1" x14ac:dyDescent="0.25">
      <c r="E611" s="2"/>
      <c r="H611"/>
    </row>
    <row r="612" spans="5:8" ht="14.25" customHeight="1" x14ac:dyDescent="0.25">
      <c r="E612" s="2"/>
      <c r="H612"/>
    </row>
    <row r="613" spans="5:8" ht="14.25" customHeight="1" x14ac:dyDescent="0.25">
      <c r="E613" s="2"/>
      <c r="H613"/>
    </row>
    <row r="614" spans="5:8" ht="14.25" customHeight="1" x14ac:dyDescent="0.25">
      <c r="E614" s="2"/>
      <c r="H614"/>
    </row>
    <row r="615" spans="5:8" ht="14.25" customHeight="1" x14ac:dyDescent="0.25">
      <c r="E615" s="2"/>
      <c r="H615"/>
    </row>
    <row r="616" spans="5:8" ht="14.25" customHeight="1" x14ac:dyDescent="0.25">
      <c r="E616" s="2"/>
      <c r="H616"/>
    </row>
    <row r="617" spans="5:8" ht="14.25" customHeight="1" x14ac:dyDescent="0.25">
      <c r="E617" s="2"/>
      <c r="H617"/>
    </row>
    <row r="618" spans="5:8" ht="14.25" customHeight="1" x14ac:dyDescent="0.25">
      <c r="E618" s="2"/>
      <c r="H618"/>
    </row>
    <row r="619" spans="5:8" ht="14.25" customHeight="1" x14ac:dyDescent="0.25">
      <c r="E619" s="2"/>
      <c r="H619"/>
    </row>
    <row r="620" spans="5:8" ht="14.25" customHeight="1" x14ac:dyDescent="0.25">
      <c r="E620" s="2"/>
      <c r="H620"/>
    </row>
    <row r="621" spans="5:8" ht="14.25" customHeight="1" x14ac:dyDescent="0.25">
      <c r="E621" s="2"/>
      <c r="H621"/>
    </row>
    <row r="622" spans="5:8" ht="14.25" customHeight="1" x14ac:dyDescent="0.25">
      <c r="E622" s="2"/>
      <c r="H622"/>
    </row>
    <row r="623" spans="5:8" ht="14.25" customHeight="1" x14ac:dyDescent="0.25">
      <c r="E623" s="2"/>
      <c r="H623"/>
    </row>
    <row r="624" spans="5:8" ht="14.25" customHeight="1" x14ac:dyDescent="0.25">
      <c r="E624" s="2"/>
      <c r="H624"/>
    </row>
    <row r="625" spans="5:8" ht="14.25" customHeight="1" x14ac:dyDescent="0.25">
      <c r="E625" s="2"/>
      <c r="H625"/>
    </row>
    <row r="626" spans="5:8" ht="14.25" customHeight="1" x14ac:dyDescent="0.25">
      <c r="E626" s="2"/>
      <c r="H626"/>
    </row>
    <row r="627" spans="5:8" ht="14.25" customHeight="1" x14ac:dyDescent="0.25">
      <c r="E627" s="2"/>
      <c r="H627"/>
    </row>
    <row r="628" spans="5:8" ht="14.25" customHeight="1" x14ac:dyDescent="0.25">
      <c r="E628" s="2"/>
      <c r="H628"/>
    </row>
    <row r="629" spans="5:8" ht="14.25" customHeight="1" x14ac:dyDescent="0.25">
      <c r="E629" s="2"/>
      <c r="H629"/>
    </row>
    <row r="630" spans="5:8" ht="14.25" customHeight="1" x14ac:dyDescent="0.25">
      <c r="E630" s="2"/>
      <c r="H630"/>
    </row>
    <row r="631" spans="5:8" ht="14.25" customHeight="1" x14ac:dyDescent="0.25">
      <c r="E631" s="2"/>
      <c r="H631"/>
    </row>
    <row r="632" spans="5:8" ht="14.25" customHeight="1" x14ac:dyDescent="0.25">
      <c r="E632" s="2"/>
      <c r="H632"/>
    </row>
    <row r="633" spans="5:8" ht="14.25" customHeight="1" x14ac:dyDescent="0.25">
      <c r="E633" s="2"/>
      <c r="H633"/>
    </row>
    <row r="634" spans="5:8" ht="14.25" customHeight="1" x14ac:dyDescent="0.25">
      <c r="E634" s="2"/>
      <c r="H634"/>
    </row>
    <row r="635" spans="5:8" ht="14.25" customHeight="1" x14ac:dyDescent="0.25">
      <c r="E635" s="2"/>
      <c r="H635"/>
    </row>
    <row r="636" spans="5:8" ht="14.25" customHeight="1" x14ac:dyDescent="0.25">
      <c r="E636" s="2"/>
      <c r="H636"/>
    </row>
    <row r="637" spans="5:8" ht="14.25" customHeight="1" x14ac:dyDescent="0.25">
      <c r="E637" s="2"/>
      <c r="H637"/>
    </row>
    <row r="638" spans="5:8" ht="14.25" customHeight="1" x14ac:dyDescent="0.25">
      <c r="E638" s="2"/>
      <c r="H638"/>
    </row>
    <row r="639" spans="5:8" ht="14.25" customHeight="1" x14ac:dyDescent="0.25">
      <c r="E639" s="2"/>
      <c r="H639"/>
    </row>
    <row r="640" spans="5:8" ht="14.25" customHeight="1" x14ac:dyDescent="0.25">
      <c r="E640" s="2"/>
      <c r="H640"/>
    </row>
    <row r="641" spans="5:8" ht="14.25" customHeight="1" x14ac:dyDescent="0.25">
      <c r="E641" s="2"/>
      <c r="H641"/>
    </row>
    <row r="642" spans="5:8" ht="14.25" customHeight="1" x14ac:dyDescent="0.25">
      <c r="E642" s="2"/>
      <c r="H642"/>
    </row>
    <row r="643" spans="5:8" ht="14.25" customHeight="1" x14ac:dyDescent="0.25">
      <c r="E643" s="2"/>
      <c r="H643"/>
    </row>
    <row r="644" spans="5:8" ht="14.25" customHeight="1" x14ac:dyDescent="0.25">
      <c r="E644" s="2"/>
      <c r="H644"/>
    </row>
    <row r="645" spans="5:8" ht="14.25" customHeight="1" x14ac:dyDescent="0.25">
      <c r="E645" s="2"/>
      <c r="H645"/>
    </row>
    <row r="646" spans="5:8" ht="14.25" customHeight="1" x14ac:dyDescent="0.25">
      <c r="E646" s="2"/>
      <c r="H646"/>
    </row>
    <row r="647" spans="5:8" ht="14.25" customHeight="1" x14ac:dyDescent="0.25">
      <c r="E647" s="2"/>
      <c r="H647"/>
    </row>
    <row r="648" spans="5:8" ht="14.25" customHeight="1" x14ac:dyDescent="0.25">
      <c r="E648" s="2"/>
      <c r="H648"/>
    </row>
    <row r="649" spans="5:8" ht="14.25" customHeight="1" x14ac:dyDescent="0.25">
      <c r="E649" s="2"/>
      <c r="H649"/>
    </row>
    <row r="650" spans="5:8" ht="14.25" customHeight="1" x14ac:dyDescent="0.25">
      <c r="E650" s="2"/>
      <c r="H650"/>
    </row>
    <row r="651" spans="5:8" ht="14.25" customHeight="1" x14ac:dyDescent="0.25">
      <c r="E651" s="2"/>
      <c r="H651"/>
    </row>
    <row r="652" spans="5:8" ht="14.25" customHeight="1" x14ac:dyDescent="0.25">
      <c r="E652" s="2"/>
      <c r="H652"/>
    </row>
    <row r="653" spans="5:8" ht="14.25" customHeight="1" x14ac:dyDescent="0.25">
      <c r="E653" s="2"/>
      <c r="H653"/>
    </row>
    <row r="654" spans="5:8" ht="14.25" customHeight="1" x14ac:dyDescent="0.25">
      <c r="E654" s="2"/>
      <c r="H654"/>
    </row>
    <row r="655" spans="5:8" ht="14.25" customHeight="1" x14ac:dyDescent="0.25">
      <c r="E655" s="2"/>
      <c r="H655"/>
    </row>
    <row r="656" spans="5:8" ht="14.25" customHeight="1" x14ac:dyDescent="0.25">
      <c r="E656" s="2"/>
      <c r="H656"/>
    </row>
    <row r="657" spans="5:8" ht="14.25" customHeight="1" x14ac:dyDescent="0.25">
      <c r="E657" s="2"/>
      <c r="H657"/>
    </row>
    <row r="658" spans="5:8" ht="14.25" customHeight="1" x14ac:dyDescent="0.25">
      <c r="E658" s="2"/>
      <c r="H658"/>
    </row>
    <row r="659" spans="5:8" ht="14.25" customHeight="1" x14ac:dyDescent="0.25">
      <c r="E659" s="2"/>
      <c r="H659"/>
    </row>
    <row r="660" spans="5:8" ht="14.25" customHeight="1" x14ac:dyDescent="0.25">
      <c r="E660" s="2"/>
      <c r="H660"/>
    </row>
    <row r="661" spans="5:8" ht="14.25" customHeight="1" x14ac:dyDescent="0.25">
      <c r="E661" s="2"/>
      <c r="H661"/>
    </row>
    <row r="662" spans="5:8" ht="14.25" customHeight="1" x14ac:dyDescent="0.25">
      <c r="E662" s="2"/>
      <c r="H662"/>
    </row>
    <row r="663" spans="5:8" ht="14.25" customHeight="1" x14ac:dyDescent="0.25">
      <c r="E663" s="2"/>
      <c r="H663"/>
    </row>
    <row r="664" spans="5:8" ht="14.25" customHeight="1" x14ac:dyDescent="0.25">
      <c r="E664" s="2"/>
      <c r="H664"/>
    </row>
    <row r="665" spans="5:8" ht="14.25" customHeight="1" x14ac:dyDescent="0.25">
      <c r="E665" s="2"/>
      <c r="H665"/>
    </row>
    <row r="666" spans="5:8" ht="14.25" customHeight="1" x14ac:dyDescent="0.25">
      <c r="E666" s="2"/>
      <c r="H666"/>
    </row>
    <row r="667" spans="5:8" ht="14.25" customHeight="1" x14ac:dyDescent="0.25">
      <c r="E667" s="2"/>
      <c r="H667"/>
    </row>
    <row r="668" spans="5:8" ht="14.25" customHeight="1" x14ac:dyDescent="0.25">
      <c r="E668" s="2"/>
      <c r="H668"/>
    </row>
    <row r="669" spans="5:8" ht="14.25" customHeight="1" x14ac:dyDescent="0.25">
      <c r="E669" s="2"/>
      <c r="H669"/>
    </row>
    <row r="670" spans="5:8" ht="14.25" customHeight="1" x14ac:dyDescent="0.25">
      <c r="E670" s="2"/>
      <c r="H670"/>
    </row>
    <row r="671" spans="5:8" ht="14.25" customHeight="1" x14ac:dyDescent="0.25">
      <c r="E671" s="2"/>
      <c r="H671"/>
    </row>
    <row r="672" spans="5:8" ht="14.25" customHeight="1" x14ac:dyDescent="0.25">
      <c r="E672" s="2"/>
      <c r="H672"/>
    </row>
    <row r="673" spans="5:8" ht="14.25" customHeight="1" x14ac:dyDescent="0.25">
      <c r="E673" s="2"/>
      <c r="H673"/>
    </row>
    <row r="674" spans="5:8" ht="14.25" customHeight="1" x14ac:dyDescent="0.25">
      <c r="E674" s="2"/>
      <c r="H674"/>
    </row>
    <row r="675" spans="5:8" ht="14.25" customHeight="1" x14ac:dyDescent="0.25">
      <c r="E675" s="2"/>
      <c r="H675"/>
    </row>
    <row r="676" spans="5:8" ht="14.25" customHeight="1" x14ac:dyDescent="0.25">
      <c r="E676" s="2"/>
      <c r="H676"/>
    </row>
    <row r="677" spans="5:8" ht="14.25" customHeight="1" x14ac:dyDescent="0.25">
      <c r="E677" s="2"/>
      <c r="H677"/>
    </row>
    <row r="678" spans="5:8" ht="14.25" customHeight="1" x14ac:dyDescent="0.25">
      <c r="E678" s="2"/>
      <c r="H678"/>
    </row>
    <row r="679" spans="5:8" ht="14.25" customHeight="1" x14ac:dyDescent="0.25">
      <c r="E679" s="2"/>
      <c r="H679"/>
    </row>
    <row r="680" spans="5:8" ht="14.25" customHeight="1" x14ac:dyDescent="0.25">
      <c r="E680" s="2"/>
      <c r="H680"/>
    </row>
    <row r="681" spans="5:8" ht="14.25" customHeight="1" x14ac:dyDescent="0.25">
      <c r="E681" s="2"/>
      <c r="H681"/>
    </row>
    <row r="682" spans="5:8" ht="14.25" customHeight="1" x14ac:dyDescent="0.25">
      <c r="E682" s="2"/>
      <c r="H682"/>
    </row>
    <row r="683" spans="5:8" ht="14.25" customHeight="1" x14ac:dyDescent="0.25">
      <c r="E683" s="2"/>
      <c r="H683"/>
    </row>
    <row r="684" spans="5:8" ht="14.25" customHeight="1" x14ac:dyDescent="0.25">
      <c r="E684" s="2"/>
      <c r="H684"/>
    </row>
    <row r="685" spans="5:8" ht="14.25" customHeight="1" x14ac:dyDescent="0.25">
      <c r="E685" s="2"/>
      <c r="H685"/>
    </row>
    <row r="686" spans="5:8" ht="14.25" customHeight="1" x14ac:dyDescent="0.25">
      <c r="E686" s="2"/>
      <c r="H686"/>
    </row>
    <row r="687" spans="5:8" ht="14.25" customHeight="1" x14ac:dyDescent="0.25">
      <c r="E687" s="2"/>
      <c r="H687"/>
    </row>
    <row r="688" spans="5:8" ht="14.25" customHeight="1" x14ac:dyDescent="0.25">
      <c r="E688" s="2"/>
      <c r="H688"/>
    </row>
    <row r="689" spans="5:8" ht="14.25" customHeight="1" x14ac:dyDescent="0.25">
      <c r="E689" s="2"/>
      <c r="H689"/>
    </row>
    <row r="690" spans="5:8" ht="14.25" customHeight="1" x14ac:dyDescent="0.25">
      <c r="E690" s="2"/>
      <c r="H690"/>
    </row>
    <row r="691" spans="5:8" ht="14.25" customHeight="1" x14ac:dyDescent="0.25">
      <c r="E691" s="2"/>
      <c r="H691"/>
    </row>
    <row r="692" spans="5:8" ht="14.25" customHeight="1" x14ac:dyDescent="0.25">
      <c r="E692" s="2"/>
      <c r="H692"/>
    </row>
    <row r="693" spans="5:8" ht="14.25" customHeight="1" x14ac:dyDescent="0.25">
      <c r="E693" s="2"/>
      <c r="H693"/>
    </row>
    <row r="694" spans="5:8" ht="14.25" customHeight="1" x14ac:dyDescent="0.25">
      <c r="E694" s="2"/>
      <c r="H694"/>
    </row>
    <row r="695" spans="5:8" ht="14.25" customHeight="1" x14ac:dyDescent="0.25">
      <c r="E695" s="2"/>
      <c r="H695"/>
    </row>
    <row r="696" spans="5:8" ht="14.25" customHeight="1" x14ac:dyDescent="0.25">
      <c r="E696" s="2"/>
      <c r="H696"/>
    </row>
    <row r="697" spans="5:8" ht="14.25" customHeight="1" x14ac:dyDescent="0.25">
      <c r="E697" s="2"/>
      <c r="H697"/>
    </row>
    <row r="698" spans="5:8" ht="14.25" customHeight="1" x14ac:dyDescent="0.25">
      <c r="E698" s="2"/>
      <c r="H698"/>
    </row>
    <row r="699" spans="5:8" ht="14.25" customHeight="1" x14ac:dyDescent="0.25">
      <c r="E699" s="2"/>
      <c r="H699"/>
    </row>
    <row r="700" spans="5:8" ht="14.25" customHeight="1" x14ac:dyDescent="0.25">
      <c r="E700" s="2"/>
      <c r="H700"/>
    </row>
    <row r="701" spans="5:8" ht="14.25" customHeight="1" x14ac:dyDescent="0.25">
      <c r="E701" s="2"/>
      <c r="H701"/>
    </row>
    <row r="702" spans="5:8" ht="14.25" customHeight="1" x14ac:dyDescent="0.25">
      <c r="E702" s="2"/>
      <c r="H702"/>
    </row>
    <row r="703" spans="5:8" ht="14.25" customHeight="1" x14ac:dyDescent="0.25">
      <c r="E703" s="2"/>
      <c r="H703"/>
    </row>
    <row r="704" spans="5:8" ht="14.25" customHeight="1" x14ac:dyDescent="0.25">
      <c r="E704" s="2"/>
      <c r="H704"/>
    </row>
    <row r="705" spans="5:8" ht="14.25" customHeight="1" x14ac:dyDescent="0.25">
      <c r="E705" s="2"/>
      <c r="H705"/>
    </row>
    <row r="706" spans="5:8" ht="14.25" customHeight="1" x14ac:dyDescent="0.25">
      <c r="E706" s="2"/>
      <c r="H706"/>
    </row>
    <row r="707" spans="5:8" ht="14.25" customHeight="1" x14ac:dyDescent="0.25">
      <c r="E707" s="2"/>
      <c r="H707"/>
    </row>
    <row r="708" spans="5:8" ht="14.25" customHeight="1" x14ac:dyDescent="0.25">
      <c r="E708" s="2"/>
      <c r="H708"/>
    </row>
    <row r="709" spans="5:8" ht="14.25" customHeight="1" x14ac:dyDescent="0.25">
      <c r="E709" s="2"/>
      <c r="H709"/>
    </row>
    <row r="710" spans="5:8" ht="14.25" customHeight="1" x14ac:dyDescent="0.25">
      <c r="E710" s="2"/>
      <c r="H710"/>
    </row>
    <row r="711" spans="5:8" ht="14.25" customHeight="1" x14ac:dyDescent="0.25">
      <c r="E711" s="2"/>
      <c r="H711"/>
    </row>
    <row r="712" spans="5:8" ht="14.25" customHeight="1" x14ac:dyDescent="0.25">
      <c r="E712" s="2"/>
      <c r="H712"/>
    </row>
    <row r="713" spans="5:8" ht="14.25" customHeight="1" x14ac:dyDescent="0.25">
      <c r="E713" s="2"/>
      <c r="H713"/>
    </row>
    <row r="714" spans="5:8" ht="14.25" customHeight="1" x14ac:dyDescent="0.25">
      <c r="E714" s="2"/>
      <c r="H714"/>
    </row>
    <row r="715" spans="5:8" ht="14.25" customHeight="1" x14ac:dyDescent="0.25">
      <c r="E715" s="2"/>
      <c r="H715"/>
    </row>
    <row r="716" spans="5:8" ht="14.25" customHeight="1" x14ac:dyDescent="0.25">
      <c r="E716" s="2"/>
      <c r="H716"/>
    </row>
    <row r="717" spans="5:8" ht="14.25" customHeight="1" x14ac:dyDescent="0.25">
      <c r="E717" s="2"/>
      <c r="H717"/>
    </row>
    <row r="718" spans="5:8" ht="14.25" customHeight="1" x14ac:dyDescent="0.25">
      <c r="E718" s="2"/>
      <c r="H718"/>
    </row>
    <row r="719" spans="5:8" ht="14.25" customHeight="1" x14ac:dyDescent="0.25">
      <c r="E719" s="2"/>
      <c r="H719"/>
    </row>
    <row r="720" spans="5:8" ht="14.25" customHeight="1" x14ac:dyDescent="0.25">
      <c r="E720" s="2"/>
      <c r="H720"/>
    </row>
    <row r="721" spans="5:8" ht="14.25" customHeight="1" x14ac:dyDescent="0.25">
      <c r="E721" s="2"/>
      <c r="H721"/>
    </row>
    <row r="722" spans="5:8" ht="14.25" customHeight="1" x14ac:dyDescent="0.25">
      <c r="E722" s="2"/>
      <c r="H722"/>
    </row>
    <row r="723" spans="5:8" ht="14.25" customHeight="1" x14ac:dyDescent="0.25">
      <c r="E723" s="2"/>
      <c r="H723"/>
    </row>
    <row r="724" spans="5:8" ht="14.25" customHeight="1" x14ac:dyDescent="0.25">
      <c r="E724" s="2"/>
      <c r="H724"/>
    </row>
    <row r="725" spans="5:8" ht="14.25" customHeight="1" x14ac:dyDescent="0.25">
      <c r="E725" s="2"/>
      <c r="H725"/>
    </row>
    <row r="726" spans="5:8" ht="14.25" customHeight="1" x14ac:dyDescent="0.25">
      <c r="E726" s="2"/>
      <c r="H726"/>
    </row>
    <row r="727" spans="5:8" ht="14.25" customHeight="1" x14ac:dyDescent="0.25">
      <c r="E727" s="2"/>
      <c r="H727"/>
    </row>
    <row r="728" spans="5:8" ht="14.25" customHeight="1" x14ac:dyDescent="0.25">
      <c r="E728" s="2"/>
      <c r="H728"/>
    </row>
    <row r="729" spans="5:8" ht="14.25" customHeight="1" x14ac:dyDescent="0.25">
      <c r="E729" s="2"/>
      <c r="H729"/>
    </row>
    <row r="730" spans="5:8" ht="14.25" customHeight="1" x14ac:dyDescent="0.25">
      <c r="E730" s="2"/>
      <c r="H730"/>
    </row>
    <row r="731" spans="5:8" ht="14.25" customHeight="1" x14ac:dyDescent="0.25">
      <c r="E731" s="2"/>
      <c r="H731"/>
    </row>
    <row r="732" spans="5:8" ht="14.25" customHeight="1" x14ac:dyDescent="0.25">
      <c r="E732" s="2"/>
      <c r="H732"/>
    </row>
    <row r="733" spans="5:8" ht="14.25" customHeight="1" x14ac:dyDescent="0.25">
      <c r="E733" s="2"/>
      <c r="H733"/>
    </row>
    <row r="734" spans="5:8" ht="14.25" customHeight="1" x14ac:dyDescent="0.25">
      <c r="E734" s="2"/>
      <c r="H734"/>
    </row>
    <row r="735" spans="5:8" ht="14.25" customHeight="1" x14ac:dyDescent="0.25">
      <c r="E735" s="2"/>
      <c r="H735"/>
    </row>
    <row r="736" spans="5:8" ht="14.25" customHeight="1" x14ac:dyDescent="0.25">
      <c r="E736" s="2"/>
      <c r="H736"/>
    </row>
    <row r="737" spans="5:8" ht="14.25" customHeight="1" x14ac:dyDescent="0.25">
      <c r="E737" s="2"/>
      <c r="H737"/>
    </row>
    <row r="738" spans="5:8" ht="14.25" customHeight="1" x14ac:dyDescent="0.25">
      <c r="E738" s="2"/>
      <c r="H738"/>
    </row>
    <row r="739" spans="5:8" ht="14.25" customHeight="1" x14ac:dyDescent="0.25">
      <c r="E739" s="2"/>
      <c r="H739"/>
    </row>
    <row r="740" spans="5:8" ht="14.25" customHeight="1" x14ac:dyDescent="0.25">
      <c r="E740" s="2"/>
      <c r="H740"/>
    </row>
    <row r="741" spans="5:8" ht="14.25" customHeight="1" x14ac:dyDescent="0.25">
      <c r="E741" s="2"/>
      <c r="H741"/>
    </row>
    <row r="742" spans="5:8" ht="14.25" customHeight="1" x14ac:dyDescent="0.25">
      <c r="E742" s="2"/>
      <c r="H742"/>
    </row>
    <row r="743" spans="5:8" ht="14.25" customHeight="1" x14ac:dyDescent="0.25">
      <c r="E743" s="2"/>
      <c r="H743"/>
    </row>
    <row r="744" spans="5:8" ht="14.25" customHeight="1" x14ac:dyDescent="0.25">
      <c r="E744" s="2"/>
      <c r="H744"/>
    </row>
    <row r="745" spans="5:8" ht="14.25" customHeight="1" x14ac:dyDescent="0.25">
      <c r="E745" s="2"/>
      <c r="H745"/>
    </row>
    <row r="746" spans="5:8" ht="14.25" customHeight="1" x14ac:dyDescent="0.25">
      <c r="E746" s="2"/>
      <c r="H746"/>
    </row>
    <row r="747" spans="5:8" ht="14.25" customHeight="1" x14ac:dyDescent="0.25">
      <c r="E747" s="2"/>
      <c r="H747"/>
    </row>
    <row r="748" spans="5:8" ht="14.25" customHeight="1" x14ac:dyDescent="0.25">
      <c r="E748" s="2"/>
      <c r="H748"/>
    </row>
    <row r="749" spans="5:8" ht="14.25" customHeight="1" x14ac:dyDescent="0.25">
      <c r="E749" s="2"/>
      <c r="H749"/>
    </row>
    <row r="750" spans="5:8" ht="14.25" customHeight="1" x14ac:dyDescent="0.25">
      <c r="E750" s="2"/>
      <c r="H750"/>
    </row>
    <row r="751" spans="5:8" ht="14.25" customHeight="1" x14ac:dyDescent="0.25">
      <c r="E751" s="2"/>
      <c r="H751"/>
    </row>
    <row r="752" spans="5:8" ht="14.25" customHeight="1" x14ac:dyDescent="0.25">
      <c r="E752" s="2"/>
      <c r="H752"/>
    </row>
    <row r="753" spans="5:8" ht="14.25" customHeight="1" x14ac:dyDescent="0.25">
      <c r="E753" s="2"/>
      <c r="H753"/>
    </row>
    <row r="754" spans="5:8" ht="14.25" customHeight="1" x14ac:dyDescent="0.25">
      <c r="E754" s="2"/>
      <c r="H754"/>
    </row>
    <row r="755" spans="5:8" ht="14.25" customHeight="1" x14ac:dyDescent="0.25">
      <c r="E755" s="2"/>
      <c r="H755"/>
    </row>
    <row r="756" spans="5:8" ht="14.25" customHeight="1" x14ac:dyDescent="0.25">
      <c r="E756" s="2"/>
      <c r="H756"/>
    </row>
    <row r="757" spans="5:8" ht="14.25" customHeight="1" x14ac:dyDescent="0.25">
      <c r="E757" s="2"/>
      <c r="H757"/>
    </row>
    <row r="758" spans="5:8" ht="14.25" customHeight="1" x14ac:dyDescent="0.25">
      <c r="E758" s="2"/>
      <c r="H758"/>
    </row>
    <row r="759" spans="5:8" ht="14.25" customHeight="1" x14ac:dyDescent="0.25">
      <c r="E759" s="2"/>
      <c r="H759"/>
    </row>
    <row r="760" spans="5:8" ht="14.25" customHeight="1" x14ac:dyDescent="0.25">
      <c r="E760" s="2"/>
      <c r="H760"/>
    </row>
    <row r="761" spans="5:8" ht="14.25" customHeight="1" x14ac:dyDescent="0.25">
      <c r="E761" s="2"/>
      <c r="H761"/>
    </row>
    <row r="762" spans="5:8" ht="14.25" customHeight="1" x14ac:dyDescent="0.25">
      <c r="E762" s="2"/>
      <c r="H762"/>
    </row>
    <row r="763" spans="5:8" ht="14.25" customHeight="1" x14ac:dyDescent="0.25">
      <c r="E763" s="2"/>
      <c r="H763"/>
    </row>
    <row r="764" spans="5:8" ht="14.25" customHeight="1" x14ac:dyDescent="0.25">
      <c r="E764" s="2"/>
      <c r="H764"/>
    </row>
    <row r="765" spans="5:8" ht="14.25" customHeight="1" x14ac:dyDescent="0.25">
      <c r="E765" s="2"/>
      <c r="H765"/>
    </row>
    <row r="766" spans="5:8" ht="14.25" customHeight="1" x14ac:dyDescent="0.25">
      <c r="E766" s="2"/>
      <c r="H766"/>
    </row>
    <row r="767" spans="5:8" ht="14.25" customHeight="1" x14ac:dyDescent="0.25">
      <c r="E767" s="2"/>
      <c r="H767"/>
    </row>
    <row r="768" spans="5:8" ht="14.25" customHeight="1" x14ac:dyDescent="0.25">
      <c r="E768" s="2"/>
      <c r="H768"/>
    </row>
    <row r="769" spans="5:8" ht="14.25" customHeight="1" x14ac:dyDescent="0.25">
      <c r="E769" s="2"/>
      <c r="H769"/>
    </row>
    <row r="770" spans="5:8" ht="14.25" customHeight="1" x14ac:dyDescent="0.25">
      <c r="E770" s="2"/>
      <c r="H770"/>
    </row>
    <row r="771" spans="5:8" ht="14.25" customHeight="1" x14ac:dyDescent="0.25">
      <c r="E771" s="2"/>
      <c r="H771"/>
    </row>
    <row r="772" spans="5:8" ht="14.25" customHeight="1" x14ac:dyDescent="0.25">
      <c r="E772" s="2"/>
      <c r="H772"/>
    </row>
    <row r="773" spans="5:8" ht="14.25" customHeight="1" x14ac:dyDescent="0.25">
      <c r="E773" s="2"/>
      <c r="H773"/>
    </row>
    <row r="774" spans="5:8" ht="14.25" customHeight="1" x14ac:dyDescent="0.25">
      <c r="E774" s="2"/>
      <c r="H774"/>
    </row>
    <row r="775" spans="5:8" ht="14.25" customHeight="1" x14ac:dyDescent="0.25">
      <c r="E775" s="2"/>
      <c r="H775"/>
    </row>
    <row r="776" spans="5:8" ht="14.25" customHeight="1" x14ac:dyDescent="0.25">
      <c r="E776" s="2"/>
      <c r="H776"/>
    </row>
    <row r="777" spans="5:8" ht="14.25" customHeight="1" x14ac:dyDescent="0.25">
      <c r="E777" s="2"/>
      <c r="H777"/>
    </row>
    <row r="778" spans="5:8" ht="14.25" customHeight="1" x14ac:dyDescent="0.25">
      <c r="E778" s="2"/>
      <c r="H778"/>
    </row>
    <row r="779" spans="5:8" ht="14.25" customHeight="1" x14ac:dyDescent="0.25">
      <c r="E779" s="2"/>
      <c r="H779"/>
    </row>
    <row r="780" spans="5:8" ht="14.25" customHeight="1" x14ac:dyDescent="0.25">
      <c r="E780" s="2"/>
      <c r="H780"/>
    </row>
    <row r="781" spans="5:8" ht="14.25" customHeight="1" x14ac:dyDescent="0.25">
      <c r="E781" s="2"/>
      <c r="H781"/>
    </row>
    <row r="782" spans="5:8" ht="14.25" customHeight="1" x14ac:dyDescent="0.25">
      <c r="E782" s="2"/>
      <c r="H782"/>
    </row>
    <row r="783" spans="5:8" ht="14.25" customHeight="1" x14ac:dyDescent="0.25">
      <c r="E783" s="2"/>
      <c r="H783"/>
    </row>
    <row r="784" spans="5:8" ht="14.25" customHeight="1" x14ac:dyDescent="0.25">
      <c r="E784" s="2"/>
      <c r="H784"/>
    </row>
    <row r="785" spans="5:8" ht="14.25" customHeight="1" x14ac:dyDescent="0.25">
      <c r="E785" s="2"/>
      <c r="H785"/>
    </row>
    <row r="786" spans="5:8" ht="14.25" customHeight="1" x14ac:dyDescent="0.25">
      <c r="E786" s="2"/>
      <c r="H786"/>
    </row>
    <row r="787" spans="5:8" ht="14.25" customHeight="1" x14ac:dyDescent="0.25">
      <c r="E787" s="2"/>
      <c r="H787"/>
    </row>
    <row r="788" spans="5:8" ht="14.25" customHeight="1" x14ac:dyDescent="0.25">
      <c r="E788" s="2"/>
      <c r="H788"/>
    </row>
    <row r="789" spans="5:8" ht="14.25" customHeight="1" x14ac:dyDescent="0.25">
      <c r="E789" s="2"/>
      <c r="H789"/>
    </row>
    <row r="790" spans="5:8" ht="14.25" customHeight="1" x14ac:dyDescent="0.25">
      <c r="E790" s="2"/>
      <c r="H790"/>
    </row>
    <row r="791" spans="5:8" ht="14.25" customHeight="1" x14ac:dyDescent="0.25">
      <c r="E791" s="2"/>
      <c r="H791"/>
    </row>
    <row r="792" spans="5:8" ht="14.25" customHeight="1" x14ac:dyDescent="0.25">
      <c r="E792" s="2"/>
      <c r="H792"/>
    </row>
    <row r="793" spans="5:8" ht="14.25" customHeight="1" x14ac:dyDescent="0.25">
      <c r="E793" s="2"/>
      <c r="H793"/>
    </row>
    <row r="794" spans="5:8" ht="14.25" customHeight="1" x14ac:dyDescent="0.25">
      <c r="E794" s="2"/>
      <c r="H794"/>
    </row>
    <row r="795" spans="5:8" ht="14.25" customHeight="1" x14ac:dyDescent="0.25">
      <c r="E795" s="2"/>
      <c r="H795"/>
    </row>
    <row r="796" spans="5:8" ht="14.25" customHeight="1" x14ac:dyDescent="0.25">
      <c r="E796" s="2"/>
      <c r="H796"/>
    </row>
    <row r="797" spans="5:8" ht="14.25" customHeight="1" x14ac:dyDescent="0.25">
      <c r="E797" s="2"/>
      <c r="H797"/>
    </row>
    <row r="798" spans="5:8" ht="14.25" customHeight="1" x14ac:dyDescent="0.25">
      <c r="E798" s="2"/>
      <c r="H798"/>
    </row>
    <row r="799" spans="5:8" ht="14.25" customHeight="1" x14ac:dyDescent="0.25">
      <c r="E799" s="2"/>
      <c r="H799"/>
    </row>
    <row r="800" spans="5:8" ht="14.25" customHeight="1" x14ac:dyDescent="0.25">
      <c r="E800" s="2"/>
      <c r="H800"/>
    </row>
    <row r="801" spans="5:8" ht="14.25" customHeight="1" x14ac:dyDescent="0.25">
      <c r="E801" s="2"/>
      <c r="H801"/>
    </row>
    <row r="802" spans="5:8" ht="14.25" customHeight="1" x14ac:dyDescent="0.25">
      <c r="E802" s="2"/>
      <c r="H802"/>
    </row>
    <row r="803" spans="5:8" ht="14.25" customHeight="1" x14ac:dyDescent="0.25">
      <c r="E803" s="2"/>
      <c r="H803"/>
    </row>
    <row r="804" spans="5:8" ht="14.25" customHeight="1" x14ac:dyDescent="0.25">
      <c r="E804" s="2"/>
      <c r="H804"/>
    </row>
    <row r="805" spans="5:8" ht="14.25" customHeight="1" x14ac:dyDescent="0.25">
      <c r="E805" s="2"/>
      <c r="H805"/>
    </row>
    <row r="806" spans="5:8" ht="14.25" customHeight="1" x14ac:dyDescent="0.25">
      <c r="E806" s="2"/>
      <c r="H806"/>
    </row>
    <row r="807" spans="5:8" ht="14.25" customHeight="1" x14ac:dyDescent="0.25">
      <c r="E807" s="2"/>
      <c r="H807"/>
    </row>
    <row r="808" spans="5:8" ht="14.25" customHeight="1" x14ac:dyDescent="0.25">
      <c r="E808" s="2"/>
      <c r="H808"/>
    </row>
    <row r="809" spans="5:8" ht="14.25" customHeight="1" x14ac:dyDescent="0.25">
      <c r="E809" s="2"/>
      <c r="H809"/>
    </row>
    <row r="810" spans="5:8" ht="14.25" customHeight="1" x14ac:dyDescent="0.25">
      <c r="E810" s="2"/>
      <c r="H810"/>
    </row>
    <row r="811" spans="5:8" ht="14.25" customHeight="1" x14ac:dyDescent="0.25">
      <c r="E811" s="2"/>
      <c r="H811"/>
    </row>
    <row r="812" spans="5:8" ht="14.25" customHeight="1" x14ac:dyDescent="0.25">
      <c r="E812" s="2"/>
      <c r="H812"/>
    </row>
    <row r="813" spans="5:8" ht="14.25" customHeight="1" x14ac:dyDescent="0.25">
      <c r="E813" s="2"/>
      <c r="H813"/>
    </row>
    <row r="814" spans="5:8" ht="14.25" customHeight="1" x14ac:dyDescent="0.25">
      <c r="E814" s="2"/>
      <c r="H814"/>
    </row>
    <row r="815" spans="5:8" ht="14.25" customHeight="1" x14ac:dyDescent="0.25">
      <c r="E815" s="2"/>
      <c r="H815"/>
    </row>
    <row r="816" spans="5:8" ht="14.25" customHeight="1" x14ac:dyDescent="0.25">
      <c r="E816" s="2"/>
      <c r="H816"/>
    </row>
    <row r="817" spans="5:8" ht="14.25" customHeight="1" x14ac:dyDescent="0.25">
      <c r="E817" s="2"/>
      <c r="H817"/>
    </row>
    <row r="818" spans="5:8" ht="14.25" customHeight="1" x14ac:dyDescent="0.25">
      <c r="E818" s="2"/>
      <c r="H818"/>
    </row>
    <row r="819" spans="5:8" ht="14.25" customHeight="1" x14ac:dyDescent="0.25">
      <c r="E819" s="2"/>
      <c r="H819"/>
    </row>
    <row r="820" spans="5:8" ht="14.25" customHeight="1" x14ac:dyDescent="0.25">
      <c r="E820" s="2"/>
      <c r="H820"/>
    </row>
    <row r="821" spans="5:8" ht="14.25" customHeight="1" x14ac:dyDescent="0.25">
      <c r="E821" s="2"/>
      <c r="H821"/>
    </row>
    <row r="822" spans="5:8" ht="14.25" customHeight="1" x14ac:dyDescent="0.25">
      <c r="E822" s="2"/>
      <c r="H822"/>
    </row>
    <row r="823" spans="5:8" ht="14.25" customHeight="1" x14ac:dyDescent="0.25">
      <c r="E823" s="2"/>
      <c r="H823"/>
    </row>
    <row r="824" spans="5:8" ht="14.25" customHeight="1" x14ac:dyDescent="0.25">
      <c r="E824" s="2"/>
      <c r="H824"/>
    </row>
    <row r="825" spans="5:8" ht="14.25" customHeight="1" x14ac:dyDescent="0.25">
      <c r="E825" s="2"/>
      <c r="H825"/>
    </row>
    <row r="826" spans="5:8" ht="14.25" customHeight="1" x14ac:dyDescent="0.25">
      <c r="E826" s="2"/>
      <c r="H826"/>
    </row>
    <row r="827" spans="5:8" ht="14.25" customHeight="1" x14ac:dyDescent="0.25">
      <c r="E827" s="2"/>
      <c r="H827"/>
    </row>
    <row r="828" spans="5:8" ht="14.25" customHeight="1" x14ac:dyDescent="0.25">
      <c r="E828" s="2"/>
      <c r="H828"/>
    </row>
    <row r="829" spans="5:8" ht="14.25" customHeight="1" x14ac:dyDescent="0.25">
      <c r="E829" s="2"/>
      <c r="H829"/>
    </row>
    <row r="830" spans="5:8" ht="14.25" customHeight="1" x14ac:dyDescent="0.25">
      <c r="E830" s="2"/>
      <c r="H830"/>
    </row>
    <row r="831" spans="5:8" ht="14.25" customHeight="1" x14ac:dyDescent="0.25">
      <c r="E831" s="2"/>
      <c r="H831"/>
    </row>
    <row r="832" spans="5:8" ht="14.25" customHeight="1" x14ac:dyDescent="0.25">
      <c r="E832" s="2"/>
      <c r="H832"/>
    </row>
    <row r="833" spans="5:8" ht="14.25" customHeight="1" x14ac:dyDescent="0.25">
      <c r="E833" s="2"/>
      <c r="H833"/>
    </row>
    <row r="834" spans="5:8" ht="14.25" customHeight="1" x14ac:dyDescent="0.25">
      <c r="E834" s="2"/>
      <c r="H834"/>
    </row>
    <row r="835" spans="5:8" ht="14.25" customHeight="1" x14ac:dyDescent="0.25">
      <c r="E835" s="2"/>
      <c r="H835"/>
    </row>
    <row r="836" spans="5:8" ht="14.25" customHeight="1" x14ac:dyDescent="0.25">
      <c r="E836" s="2"/>
      <c r="H836"/>
    </row>
    <row r="837" spans="5:8" ht="14.25" customHeight="1" x14ac:dyDescent="0.25">
      <c r="E837" s="2"/>
      <c r="H837"/>
    </row>
    <row r="838" spans="5:8" ht="14.25" customHeight="1" x14ac:dyDescent="0.25">
      <c r="E838" s="2"/>
      <c r="H838"/>
    </row>
    <row r="839" spans="5:8" ht="14.25" customHeight="1" x14ac:dyDescent="0.25">
      <c r="E839" s="2"/>
      <c r="H839"/>
    </row>
    <row r="840" spans="5:8" ht="14.25" customHeight="1" x14ac:dyDescent="0.25">
      <c r="E840" s="2"/>
      <c r="H840"/>
    </row>
    <row r="841" spans="5:8" ht="14.25" customHeight="1" x14ac:dyDescent="0.25">
      <c r="E841" s="2"/>
      <c r="H841"/>
    </row>
    <row r="842" spans="5:8" ht="14.25" customHeight="1" x14ac:dyDescent="0.25">
      <c r="E842" s="2"/>
      <c r="H842"/>
    </row>
    <row r="843" spans="5:8" ht="14.25" customHeight="1" x14ac:dyDescent="0.25">
      <c r="E843" s="2"/>
      <c r="H843"/>
    </row>
    <row r="844" spans="5:8" ht="14.25" customHeight="1" x14ac:dyDescent="0.25">
      <c r="E844" s="2"/>
      <c r="H844"/>
    </row>
    <row r="845" spans="5:8" ht="14.25" customHeight="1" x14ac:dyDescent="0.25">
      <c r="E845" s="2"/>
      <c r="H845"/>
    </row>
    <row r="846" spans="5:8" ht="14.25" customHeight="1" x14ac:dyDescent="0.25">
      <c r="E846" s="2"/>
      <c r="H846"/>
    </row>
    <row r="847" spans="5:8" ht="14.25" customHeight="1" x14ac:dyDescent="0.25">
      <c r="E847" s="2"/>
      <c r="H847"/>
    </row>
    <row r="848" spans="5:8" ht="14.25" customHeight="1" x14ac:dyDescent="0.25">
      <c r="E848" s="2"/>
      <c r="H848"/>
    </row>
    <row r="849" spans="5:8" ht="14.25" customHeight="1" x14ac:dyDescent="0.25">
      <c r="E849" s="2"/>
      <c r="H849"/>
    </row>
    <row r="850" spans="5:8" ht="14.25" customHeight="1" x14ac:dyDescent="0.25">
      <c r="E850" s="2"/>
      <c r="H850"/>
    </row>
    <row r="851" spans="5:8" ht="14.25" customHeight="1" x14ac:dyDescent="0.25">
      <c r="E851" s="2"/>
      <c r="H851"/>
    </row>
    <row r="852" spans="5:8" ht="14.25" customHeight="1" x14ac:dyDescent="0.25">
      <c r="E852" s="2"/>
      <c r="H852"/>
    </row>
    <row r="853" spans="5:8" ht="14.25" customHeight="1" x14ac:dyDescent="0.25">
      <c r="E853" s="2"/>
      <c r="H853"/>
    </row>
    <row r="854" spans="5:8" ht="14.25" customHeight="1" x14ac:dyDescent="0.25">
      <c r="E854" s="2"/>
      <c r="H854"/>
    </row>
    <row r="855" spans="5:8" ht="14.25" customHeight="1" x14ac:dyDescent="0.25">
      <c r="E855" s="2"/>
      <c r="H855"/>
    </row>
    <row r="856" spans="5:8" ht="14.25" customHeight="1" x14ac:dyDescent="0.25">
      <c r="E856" s="2"/>
      <c r="H856"/>
    </row>
    <row r="857" spans="5:8" ht="14.25" customHeight="1" x14ac:dyDescent="0.25">
      <c r="E857" s="2"/>
      <c r="H857"/>
    </row>
    <row r="858" spans="5:8" ht="14.25" customHeight="1" x14ac:dyDescent="0.25">
      <c r="E858" s="2"/>
      <c r="H858"/>
    </row>
    <row r="859" spans="5:8" ht="14.25" customHeight="1" x14ac:dyDescent="0.25">
      <c r="E859" s="2"/>
      <c r="H859"/>
    </row>
    <row r="860" spans="5:8" ht="14.25" customHeight="1" x14ac:dyDescent="0.25">
      <c r="E860" s="2"/>
      <c r="H860"/>
    </row>
    <row r="861" spans="5:8" ht="14.25" customHeight="1" x14ac:dyDescent="0.25">
      <c r="E861" s="2"/>
      <c r="H861"/>
    </row>
    <row r="862" spans="5:8" ht="14.25" customHeight="1" x14ac:dyDescent="0.25">
      <c r="E862" s="2"/>
      <c r="H862"/>
    </row>
    <row r="863" spans="5:8" ht="14.25" customHeight="1" x14ac:dyDescent="0.25">
      <c r="E863" s="2"/>
      <c r="H863"/>
    </row>
    <row r="864" spans="5:8" ht="14.25" customHeight="1" x14ac:dyDescent="0.25">
      <c r="E864" s="2"/>
      <c r="H864"/>
    </row>
    <row r="865" spans="5:8" ht="14.25" customHeight="1" x14ac:dyDescent="0.25">
      <c r="E865" s="2"/>
      <c r="H865"/>
    </row>
    <row r="866" spans="5:8" ht="14.25" customHeight="1" x14ac:dyDescent="0.25">
      <c r="E866" s="2"/>
      <c r="H866"/>
    </row>
    <row r="867" spans="5:8" ht="14.25" customHeight="1" x14ac:dyDescent="0.25">
      <c r="E867" s="2"/>
      <c r="H867"/>
    </row>
    <row r="868" spans="5:8" ht="14.25" customHeight="1" x14ac:dyDescent="0.25">
      <c r="E868" s="2"/>
      <c r="H868"/>
    </row>
    <row r="869" spans="5:8" ht="14.25" customHeight="1" x14ac:dyDescent="0.25">
      <c r="E869" s="2"/>
      <c r="H869"/>
    </row>
    <row r="870" spans="5:8" ht="14.25" customHeight="1" x14ac:dyDescent="0.25">
      <c r="E870" s="2"/>
      <c r="H870"/>
    </row>
    <row r="871" spans="5:8" ht="14.25" customHeight="1" x14ac:dyDescent="0.25">
      <c r="E871" s="2"/>
      <c r="H871"/>
    </row>
    <row r="872" spans="5:8" ht="14.25" customHeight="1" x14ac:dyDescent="0.25">
      <c r="E872" s="2"/>
      <c r="H872"/>
    </row>
    <row r="873" spans="5:8" ht="14.25" customHeight="1" x14ac:dyDescent="0.25">
      <c r="E873" s="2"/>
      <c r="H873"/>
    </row>
    <row r="874" spans="5:8" ht="14.25" customHeight="1" x14ac:dyDescent="0.25">
      <c r="E874" s="2"/>
      <c r="H874"/>
    </row>
    <row r="875" spans="5:8" ht="14.25" customHeight="1" x14ac:dyDescent="0.25">
      <c r="E875" s="2"/>
      <c r="H875"/>
    </row>
    <row r="876" spans="5:8" ht="14.25" customHeight="1" x14ac:dyDescent="0.25">
      <c r="E876" s="2"/>
      <c r="H876"/>
    </row>
    <row r="877" spans="5:8" ht="14.25" customHeight="1" x14ac:dyDescent="0.25">
      <c r="E877" s="2"/>
      <c r="H877"/>
    </row>
    <row r="878" spans="5:8" ht="14.25" customHeight="1" x14ac:dyDescent="0.25">
      <c r="E878" s="2"/>
      <c r="H878"/>
    </row>
    <row r="879" spans="5:8" ht="14.25" customHeight="1" x14ac:dyDescent="0.25">
      <c r="E879" s="2"/>
      <c r="H879"/>
    </row>
    <row r="880" spans="5:8" ht="14.25" customHeight="1" x14ac:dyDescent="0.25">
      <c r="E880" s="2"/>
      <c r="H880"/>
    </row>
    <row r="881" spans="5:8" ht="14.25" customHeight="1" x14ac:dyDescent="0.25">
      <c r="E881" s="2"/>
      <c r="H881"/>
    </row>
    <row r="882" spans="5:8" ht="14.25" customHeight="1" x14ac:dyDescent="0.25">
      <c r="E882" s="2"/>
      <c r="H882"/>
    </row>
    <row r="883" spans="5:8" ht="14.25" customHeight="1" x14ac:dyDescent="0.25">
      <c r="E883" s="2"/>
      <c r="H883"/>
    </row>
    <row r="884" spans="5:8" ht="14.25" customHeight="1" x14ac:dyDescent="0.25">
      <c r="E884" s="2"/>
      <c r="H884"/>
    </row>
    <row r="885" spans="5:8" ht="14.25" customHeight="1" x14ac:dyDescent="0.25">
      <c r="E885" s="2"/>
      <c r="H885"/>
    </row>
    <row r="886" spans="5:8" ht="14.25" customHeight="1" x14ac:dyDescent="0.25">
      <c r="E886" s="2"/>
      <c r="H886"/>
    </row>
    <row r="887" spans="5:8" ht="14.25" customHeight="1" x14ac:dyDescent="0.25">
      <c r="E887" s="2"/>
      <c r="H887"/>
    </row>
    <row r="888" spans="5:8" ht="14.25" customHeight="1" x14ac:dyDescent="0.25">
      <c r="E888" s="2"/>
      <c r="H888"/>
    </row>
    <row r="889" spans="5:8" ht="14.25" customHeight="1" x14ac:dyDescent="0.25">
      <c r="E889" s="2"/>
      <c r="H889"/>
    </row>
    <row r="890" spans="5:8" ht="14.25" customHeight="1" x14ac:dyDescent="0.25">
      <c r="E890" s="2"/>
      <c r="H890"/>
    </row>
    <row r="891" spans="5:8" ht="14.25" customHeight="1" x14ac:dyDescent="0.25">
      <c r="E891" s="2"/>
      <c r="H891"/>
    </row>
    <row r="892" spans="5:8" ht="14.25" customHeight="1" x14ac:dyDescent="0.25">
      <c r="E892" s="2"/>
      <c r="H892"/>
    </row>
    <row r="893" spans="5:8" ht="14.25" customHeight="1" x14ac:dyDescent="0.25">
      <c r="E893" s="2"/>
      <c r="H893"/>
    </row>
    <row r="894" spans="5:8" ht="14.25" customHeight="1" x14ac:dyDescent="0.25">
      <c r="E894" s="2"/>
      <c r="H894"/>
    </row>
    <row r="895" spans="5:8" ht="14.25" customHeight="1" x14ac:dyDescent="0.25">
      <c r="E895" s="2"/>
      <c r="H895"/>
    </row>
    <row r="896" spans="5:8" ht="14.25" customHeight="1" x14ac:dyDescent="0.25">
      <c r="E896" s="2"/>
      <c r="H896"/>
    </row>
    <row r="897" spans="5:8" ht="14.25" customHeight="1" x14ac:dyDescent="0.25">
      <c r="E897" s="2"/>
      <c r="H897"/>
    </row>
    <row r="898" spans="5:8" ht="14.25" customHeight="1" x14ac:dyDescent="0.25">
      <c r="E898" s="2"/>
      <c r="H898"/>
    </row>
    <row r="899" spans="5:8" ht="14.25" customHeight="1" x14ac:dyDescent="0.25">
      <c r="E899" s="2"/>
      <c r="H899"/>
    </row>
    <row r="900" spans="5:8" ht="14.25" customHeight="1" x14ac:dyDescent="0.25">
      <c r="E900" s="2"/>
      <c r="H900"/>
    </row>
    <row r="901" spans="5:8" ht="14.25" customHeight="1" x14ac:dyDescent="0.25">
      <c r="E901" s="2"/>
      <c r="H901"/>
    </row>
    <row r="902" spans="5:8" ht="14.25" customHeight="1" x14ac:dyDescent="0.25">
      <c r="E902" s="2"/>
      <c r="H902"/>
    </row>
    <row r="903" spans="5:8" ht="14.25" customHeight="1" x14ac:dyDescent="0.25">
      <c r="E903" s="2"/>
      <c r="H903"/>
    </row>
    <row r="904" spans="5:8" ht="14.25" customHeight="1" x14ac:dyDescent="0.25">
      <c r="E904" s="2"/>
      <c r="H904"/>
    </row>
    <row r="905" spans="5:8" ht="14.25" customHeight="1" x14ac:dyDescent="0.25">
      <c r="E905" s="2"/>
      <c r="H905"/>
    </row>
    <row r="906" spans="5:8" ht="14.25" customHeight="1" x14ac:dyDescent="0.25">
      <c r="E906" s="2"/>
      <c r="H906"/>
    </row>
    <row r="907" spans="5:8" ht="14.25" customHeight="1" x14ac:dyDescent="0.25">
      <c r="E907" s="2"/>
      <c r="H907"/>
    </row>
    <row r="908" spans="5:8" ht="14.25" customHeight="1" x14ac:dyDescent="0.25">
      <c r="E908" s="2"/>
      <c r="H908"/>
    </row>
    <row r="909" spans="5:8" ht="14.25" customHeight="1" x14ac:dyDescent="0.25">
      <c r="E909" s="2"/>
      <c r="H909"/>
    </row>
    <row r="910" spans="5:8" ht="14.25" customHeight="1" x14ac:dyDescent="0.25">
      <c r="E910" s="2"/>
      <c r="H910"/>
    </row>
    <row r="911" spans="5:8" ht="14.25" customHeight="1" x14ac:dyDescent="0.25">
      <c r="E911" s="2"/>
      <c r="H911"/>
    </row>
    <row r="912" spans="5:8" ht="14.25" customHeight="1" x14ac:dyDescent="0.25">
      <c r="E912" s="2"/>
      <c r="H912"/>
    </row>
    <row r="913" spans="5:8" ht="14.25" customHeight="1" x14ac:dyDescent="0.25">
      <c r="E913" s="2"/>
      <c r="H913"/>
    </row>
    <row r="914" spans="5:8" ht="14.25" customHeight="1" x14ac:dyDescent="0.25">
      <c r="E914" s="2"/>
      <c r="H914"/>
    </row>
    <row r="915" spans="5:8" ht="14.25" customHeight="1" x14ac:dyDescent="0.25">
      <c r="E915" s="2"/>
      <c r="H915"/>
    </row>
    <row r="916" spans="5:8" ht="14.25" customHeight="1" x14ac:dyDescent="0.25">
      <c r="E916" s="2"/>
      <c r="H916"/>
    </row>
    <row r="917" spans="5:8" ht="14.25" customHeight="1" x14ac:dyDescent="0.25">
      <c r="E917" s="2"/>
      <c r="H917"/>
    </row>
    <row r="918" spans="5:8" ht="14.25" customHeight="1" x14ac:dyDescent="0.25">
      <c r="E918" s="2"/>
      <c r="H918"/>
    </row>
    <row r="919" spans="5:8" ht="14.25" customHeight="1" x14ac:dyDescent="0.25">
      <c r="E919" s="2"/>
      <c r="H919"/>
    </row>
    <row r="920" spans="5:8" ht="14.25" customHeight="1" x14ac:dyDescent="0.25">
      <c r="E920" s="2"/>
      <c r="H920"/>
    </row>
    <row r="921" spans="5:8" ht="14.25" customHeight="1" x14ac:dyDescent="0.25">
      <c r="E921" s="2"/>
      <c r="H921"/>
    </row>
    <row r="922" spans="5:8" ht="14.25" customHeight="1" x14ac:dyDescent="0.25">
      <c r="E922" s="2"/>
      <c r="H922"/>
    </row>
    <row r="923" spans="5:8" ht="14.25" customHeight="1" x14ac:dyDescent="0.25">
      <c r="E923" s="2"/>
      <c r="H923"/>
    </row>
    <row r="924" spans="5:8" ht="14.25" customHeight="1" x14ac:dyDescent="0.25">
      <c r="E924" s="2"/>
      <c r="H924"/>
    </row>
    <row r="925" spans="5:8" ht="14.25" customHeight="1" x14ac:dyDescent="0.25">
      <c r="E925" s="2"/>
      <c r="H925"/>
    </row>
    <row r="926" spans="5:8" ht="14.25" customHeight="1" x14ac:dyDescent="0.25">
      <c r="E926" s="2"/>
      <c r="H926"/>
    </row>
    <row r="927" spans="5:8" ht="14.25" customHeight="1" x14ac:dyDescent="0.25">
      <c r="E927" s="2"/>
      <c r="H927"/>
    </row>
    <row r="928" spans="5:8" ht="14.25" customHeight="1" x14ac:dyDescent="0.25">
      <c r="E928" s="2"/>
      <c r="H928"/>
    </row>
    <row r="929" spans="5:8" ht="14.25" customHeight="1" x14ac:dyDescent="0.25">
      <c r="E929" s="2"/>
      <c r="H929"/>
    </row>
    <row r="930" spans="5:8" ht="14.25" customHeight="1" x14ac:dyDescent="0.25">
      <c r="E930" s="2"/>
      <c r="H930"/>
    </row>
    <row r="931" spans="5:8" ht="14.25" customHeight="1" x14ac:dyDescent="0.25">
      <c r="E931" s="2"/>
      <c r="H931"/>
    </row>
    <row r="932" spans="5:8" ht="14.25" customHeight="1" x14ac:dyDescent="0.25">
      <c r="E932" s="2"/>
      <c r="H932"/>
    </row>
    <row r="933" spans="5:8" ht="14.25" customHeight="1" x14ac:dyDescent="0.25">
      <c r="E933" s="2"/>
      <c r="H933"/>
    </row>
    <row r="934" spans="5:8" ht="14.25" customHeight="1" x14ac:dyDescent="0.25">
      <c r="E934" s="2"/>
      <c r="H934"/>
    </row>
    <row r="935" spans="5:8" ht="14.25" customHeight="1" x14ac:dyDescent="0.25">
      <c r="E935" s="2"/>
      <c r="H935"/>
    </row>
    <row r="936" spans="5:8" ht="14.25" customHeight="1" x14ac:dyDescent="0.25">
      <c r="E936" s="2"/>
      <c r="H936"/>
    </row>
    <row r="937" spans="5:8" ht="14.25" customHeight="1" x14ac:dyDescent="0.25">
      <c r="E937" s="2"/>
      <c r="H937"/>
    </row>
    <row r="938" spans="5:8" ht="14.25" customHeight="1" x14ac:dyDescent="0.25">
      <c r="E938" s="2"/>
      <c r="H938"/>
    </row>
    <row r="939" spans="5:8" ht="14.25" customHeight="1" x14ac:dyDescent="0.25">
      <c r="E939" s="2"/>
      <c r="H939"/>
    </row>
    <row r="940" spans="5:8" ht="14.25" customHeight="1" x14ac:dyDescent="0.25">
      <c r="E940" s="2"/>
      <c r="H940"/>
    </row>
    <row r="941" spans="5:8" ht="14.25" customHeight="1" x14ac:dyDescent="0.25">
      <c r="E941" s="2"/>
      <c r="H941"/>
    </row>
    <row r="942" spans="5:8" ht="14.25" customHeight="1" x14ac:dyDescent="0.25">
      <c r="E942" s="2"/>
      <c r="H942"/>
    </row>
    <row r="943" spans="5:8" ht="14.25" customHeight="1" x14ac:dyDescent="0.25">
      <c r="E943" s="2"/>
      <c r="H943"/>
    </row>
    <row r="944" spans="5:8" ht="14.25" customHeight="1" x14ac:dyDescent="0.25">
      <c r="E944" s="2"/>
      <c r="H944"/>
    </row>
    <row r="945" spans="5:8" ht="14.25" customHeight="1" x14ac:dyDescent="0.25">
      <c r="E945" s="2"/>
      <c r="H945"/>
    </row>
    <row r="946" spans="5:8" ht="14.25" customHeight="1" x14ac:dyDescent="0.25">
      <c r="E946" s="2"/>
      <c r="H946"/>
    </row>
    <row r="947" spans="5:8" ht="14.25" customHeight="1" x14ac:dyDescent="0.25">
      <c r="E947" s="2"/>
      <c r="H947"/>
    </row>
    <row r="948" spans="5:8" ht="14.25" customHeight="1" x14ac:dyDescent="0.25">
      <c r="E948" s="2"/>
      <c r="H948"/>
    </row>
    <row r="949" spans="5:8" ht="14.25" customHeight="1" x14ac:dyDescent="0.25">
      <c r="E949" s="2"/>
      <c r="H949"/>
    </row>
    <row r="950" spans="5:8" ht="14.25" customHeight="1" x14ac:dyDescent="0.25">
      <c r="E950" s="2"/>
      <c r="H950"/>
    </row>
    <row r="951" spans="5:8" ht="14.25" customHeight="1" x14ac:dyDescent="0.25">
      <c r="E951" s="2"/>
      <c r="H951"/>
    </row>
    <row r="952" spans="5:8" ht="14.25" customHeight="1" x14ac:dyDescent="0.25">
      <c r="E952" s="2"/>
      <c r="H952"/>
    </row>
    <row r="953" spans="5:8" ht="14.25" customHeight="1" x14ac:dyDescent="0.25">
      <c r="E953" s="2"/>
      <c r="H953"/>
    </row>
    <row r="954" spans="5:8" ht="14.25" customHeight="1" x14ac:dyDescent="0.25">
      <c r="E954" s="2"/>
      <c r="H954"/>
    </row>
    <row r="955" spans="5:8" ht="14.25" customHeight="1" x14ac:dyDescent="0.25">
      <c r="E955" s="2"/>
      <c r="H955"/>
    </row>
    <row r="956" spans="5:8" ht="14.25" customHeight="1" x14ac:dyDescent="0.25">
      <c r="E956" s="2"/>
      <c r="H956"/>
    </row>
    <row r="957" spans="5:8" ht="14.25" customHeight="1" x14ac:dyDescent="0.25">
      <c r="E957" s="2"/>
      <c r="H957"/>
    </row>
    <row r="958" spans="5:8" ht="14.25" customHeight="1" x14ac:dyDescent="0.25">
      <c r="E958" s="2"/>
      <c r="H958"/>
    </row>
    <row r="959" spans="5:8" ht="14.25" customHeight="1" x14ac:dyDescent="0.25">
      <c r="E959" s="2"/>
      <c r="H959"/>
    </row>
    <row r="960" spans="5:8" ht="14.25" customHeight="1" x14ac:dyDescent="0.25">
      <c r="E960" s="2"/>
      <c r="H960"/>
    </row>
    <row r="961" spans="5:8" ht="14.25" customHeight="1" x14ac:dyDescent="0.25">
      <c r="E961" s="2"/>
      <c r="H961"/>
    </row>
    <row r="962" spans="5:8" ht="14.25" customHeight="1" x14ac:dyDescent="0.25">
      <c r="E962" s="2"/>
      <c r="H962"/>
    </row>
    <row r="963" spans="5:8" ht="14.25" customHeight="1" x14ac:dyDescent="0.25">
      <c r="E963" s="2"/>
      <c r="H963"/>
    </row>
    <row r="964" spans="5:8" ht="14.25" customHeight="1" x14ac:dyDescent="0.25">
      <c r="E964" s="2"/>
      <c r="H964"/>
    </row>
    <row r="965" spans="5:8" ht="14.25" customHeight="1" x14ac:dyDescent="0.25">
      <c r="E965" s="2"/>
      <c r="H965"/>
    </row>
    <row r="966" spans="5:8" ht="14.25" customHeight="1" x14ac:dyDescent="0.25">
      <c r="E966" s="2"/>
      <c r="H966"/>
    </row>
    <row r="967" spans="5:8" ht="14.25" customHeight="1" x14ac:dyDescent="0.25">
      <c r="E967" s="2"/>
      <c r="H967"/>
    </row>
    <row r="968" spans="5:8" ht="14.25" customHeight="1" x14ac:dyDescent="0.25">
      <c r="E968" s="2"/>
      <c r="H968"/>
    </row>
    <row r="969" spans="5:8" ht="14.25" customHeight="1" x14ac:dyDescent="0.25">
      <c r="E969" s="2"/>
      <c r="H969"/>
    </row>
    <row r="970" spans="5:8" ht="14.25" customHeight="1" x14ac:dyDescent="0.25">
      <c r="E970" s="2"/>
      <c r="H970"/>
    </row>
    <row r="971" spans="5:8" ht="14.25" customHeight="1" x14ac:dyDescent="0.25">
      <c r="E971" s="2"/>
      <c r="H971"/>
    </row>
    <row r="972" spans="5:8" ht="14.25" customHeight="1" x14ac:dyDescent="0.25">
      <c r="E972" s="2"/>
      <c r="H972"/>
    </row>
    <row r="973" spans="5:8" ht="14.25" customHeight="1" x14ac:dyDescent="0.25">
      <c r="E973" s="2"/>
      <c r="H973"/>
    </row>
    <row r="974" spans="5:8" ht="14.25" customHeight="1" x14ac:dyDescent="0.25">
      <c r="E974" s="2"/>
      <c r="H974"/>
    </row>
    <row r="975" spans="5:8" ht="14.25" customHeight="1" x14ac:dyDescent="0.25">
      <c r="E975" s="2"/>
      <c r="H975"/>
    </row>
    <row r="976" spans="5:8" ht="14.25" customHeight="1" x14ac:dyDescent="0.25">
      <c r="E976" s="2"/>
      <c r="H976"/>
    </row>
    <row r="977" spans="5:8" ht="14.25" customHeight="1" x14ac:dyDescent="0.25">
      <c r="E977" s="2"/>
      <c r="H977"/>
    </row>
    <row r="978" spans="5:8" ht="14.25" customHeight="1" x14ac:dyDescent="0.25">
      <c r="E978" s="2"/>
      <c r="H978"/>
    </row>
    <row r="979" spans="5:8" ht="14.25" customHeight="1" x14ac:dyDescent="0.25">
      <c r="E979" s="2"/>
      <c r="H979"/>
    </row>
    <row r="980" spans="5:8" ht="14.25" customHeight="1" x14ac:dyDescent="0.25">
      <c r="E980" s="2"/>
      <c r="H980"/>
    </row>
    <row r="981" spans="5:8" ht="14.25" customHeight="1" x14ac:dyDescent="0.25">
      <c r="E981" s="2"/>
      <c r="H981"/>
    </row>
    <row r="982" spans="5:8" ht="14.25" customHeight="1" x14ac:dyDescent="0.25">
      <c r="E982" s="2"/>
      <c r="H982"/>
    </row>
    <row r="983" spans="5:8" ht="14.25" customHeight="1" x14ac:dyDescent="0.25">
      <c r="E983" s="2"/>
      <c r="H983"/>
    </row>
    <row r="984" spans="5:8" ht="14.25" customHeight="1" x14ac:dyDescent="0.25">
      <c r="E984" s="2"/>
      <c r="H984"/>
    </row>
    <row r="985" spans="5:8" ht="14.25" customHeight="1" x14ac:dyDescent="0.25">
      <c r="E985" s="2"/>
      <c r="H985"/>
    </row>
    <row r="986" spans="5:8" ht="14.25" customHeight="1" x14ac:dyDescent="0.25">
      <c r="E986" s="2"/>
      <c r="H986"/>
    </row>
    <row r="987" spans="5:8" ht="14.25" customHeight="1" x14ac:dyDescent="0.25">
      <c r="E987" s="2"/>
      <c r="H987"/>
    </row>
    <row r="988" spans="5:8" ht="14.25" customHeight="1" x14ac:dyDescent="0.25">
      <c r="E988" s="2"/>
      <c r="H988"/>
    </row>
    <row r="989" spans="5:8" ht="14.25" customHeight="1" x14ac:dyDescent="0.25">
      <c r="E989" s="2"/>
      <c r="H989"/>
    </row>
    <row r="990" spans="5:8" ht="14.25" customHeight="1" x14ac:dyDescent="0.25">
      <c r="E990" s="2"/>
      <c r="H990"/>
    </row>
    <row r="991" spans="5:8" ht="14.25" customHeight="1" x14ac:dyDescent="0.25">
      <c r="E991" s="2"/>
      <c r="H991"/>
    </row>
    <row r="992" spans="5:8" ht="14.25" customHeight="1" x14ac:dyDescent="0.25">
      <c r="E992" s="2"/>
      <c r="H992"/>
    </row>
    <row r="993" spans="5:8" ht="14.25" customHeight="1" x14ac:dyDescent="0.25">
      <c r="E993" s="2"/>
      <c r="H993"/>
    </row>
    <row r="994" spans="5:8" ht="14.25" customHeight="1" x14ac:dyDescent="0.25">
      <c r="E994" s="2"/>
      <c r="H994"/>
    </row>
    <row r="995" spans="5:8" ht="14.25" customHeight="1" x14ac:dyDescent="0.25">
      <c r="E995" s="2"/>
      <c r="H995"/>
    </row>
    <row r="996" spans="5:8" ht="14.25" customHeight="1" x14ac:dyDescent="0.25">
      <c r="E996" s="2"/>
      <c r="H996"/>
    </row>
    <row r="997" spans="5:8" ht="14.25" customHeight="1" x14ac:dyDescent="0.25">
      <c r="E997" s="2"/>
      <c r="H997"/>
    </row>
    <row r="998" spans="5:8" ht="14.25" customHeight="1" x14ac:dyDescent="0.25">
      <c r="E998" s="2"/>
      <c r="H998"/>
    </row>
    <row r="999" spans="5:8" ht="14.25" customHeight="1" x14ac:dyDescent="0.25">
      <c r="E999" s="2"/>
      <c r="H999"/>
    </row>
  </sheetData>
  <mergeCells count="102">
    <mergeCell ref="L44:L45"/>
    <mergeCell ref="A44:A45"/>
    <mergeCell ref="B44:C45"/>
    <mergeCell ref="H44:H45"/>
    <mergeCell ref="I44:I45"/>
    <mergeCell ref="K22:K23"/>
    <mergeCell ref="L22:L23"/>
    <mergeCell ref="F44:F45"/>
    <mergeCell ref="K37:L37"/>
    <mergeCell ref="K38:L38"/>
    <mergeCell ref="A33:C33"/>
    <mergeCell ref="D33:F33"/>
    <mergeCell ref="K33:L33"/>
    <mergeCell ref="A36:C36"/>
    <mergeCell ref="D36:F36"/>
    <mergeCell ref="K36:L36"/>
    <mergeCell ref="G33:J36"/>
    <mergeCell ref="A34:C34"/>
    <mergeCell ref="D34:F34"/>
    <mergeCell ref="K34:L34"/>
    <mergeCell ref="A35:C35"/>
    <mergeCell ref="D35:F35"/>
    <mergeCell ref="A31:C32"/>
    <mergeCell ref="D31:F32"/>
    <mergeCell ref="A18:A19"/>
    <mergeCell ref="B18:C19"/>
    <mergeCell ref="G18:G19"/>
    <mergeCell ref="H18:H19"/>
    <mergeCell ref="I18:I19"/>
    <mergeCell ref="J18:J19"/>
    <mergeCell ref="K18:K19"/>
    <mergeCell ref="L18:L19"/>
    <mergeCell ref="A22:A23"/>
    <mergeCell ref="B22:C23"/>
    <mergeCell ref="G22:G23"/>
    <mergeCell ref="H22:H23"/>
    <mergeCell ref="I22:I23"/>
    <mergeCell ref="J22:J23"/>
    <mergeCell ref="A20:A21"/>
    <mergeCell ref="B20:C21"/>
    <mergeCell ref="G20:G21"/>
    <mergeCell ref="H20:H21"/>
    <mergeCell ref="I20:I21"/>
    <mergeCell ref="J20:J21"/>
    <mergeCell ref="K20:K21"/>
    <mergeCell ref="L20:L21"/>
    <mergeCell ref="D57:I57"/>
    <mergeCell ref="A58:C58"/>
    <mergeCell ref="I58:J58"/>
    <mergeCell ref="K58:L58"/>
    <mergeCell ref="A52:C52"/>
    <mergeCell ref="H52:L52"/>
    <mergeCell ref="A53:C53"/>
    <mergeCell ref="H53:L53"/>
    <mergeCell ref="D55:I55"/>
    <mergeCell ref="D56:I56"/>
    <mergeCell ref="A47:C47"/>
    <mergeCell ref="A50:C50"/>
    <mergeCell ref="A42:A43"/>
    <mergeCell ref="B42:C43"/>
    <mergeCell ref="G42:G43"/>
    <mergeCell ref="H42:H43"/>
    <mergeCell ref="I42:I43"/>
    <mergeCell ref="J42:J43"/>
    <mergeCell ref="K42:K43"/>
    <mergeCell ref="B46:C46"/>
    <mergeCell ref="J44:J45"/>
    <mergeCell ref="K44:K45"/>
    <mergeCell ref="G31:J32"/>
    <mergeCell ref="K31:L32"/>
    <mergeCell ref="B24:C24"/>
    <mergeCell ref="A26:A27"/>
    <mergeCell ref="B26:C27"/>
    <mergeCell ref="D26:D27"/>
    <mergeCell ref="E26:G27"/>
    <mergeCell ref="H26:H27"/>
    <mergeCell ref="A28:C28"/>
    <mergeCell ref="E28:G28"/>
    <mergeCell ref="A40:A41"/>
    <mergeCell ref="B40:C41"/>
    <mergeCell ref="D40:D41"/>
    <mergeCell ref="E40:E41"/>
    <mergeCell ref="F40:F41"/>
    <mergeCell ref="G40:G41"/>
    <mergeCell ref="H40:H41"/>
    <mergeCell ref="L42:L43"/>
    <mergeCell ref="A2:L2"/>
    <mergeCell ref="A3:L3"/>
    <mergeCell ref="A4:L4"/>
    <mergeCell ref="A5:L5"/>
    <mergeCell ref="A6:L6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K35:L35"/>
  </mergeCells>
  <pageMargins left="0.5" right="0.25" top="0.25" bottom="0.25" header="0" footer="0"/>
  <pageSetup paperSize="5" scale="8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86"/>
  <sheetViews>
    <sheetView topLeftCell="A9" zoomScale="85" zoomScaleNormal="85" workbookViewId="0">
      <selection activeCell="R35" sqref="R35"/>
    </sheetView>
  </sheetViews>
  <sheetFormatPr defaultColWidth="14.42578125" defaultRowHeight="15" customHeight="1" x14ac:dyDescent="0.25"/>
  <cols>
    <col min="1" max="1" width="10" style="61" customWidth="1"/>
    <col min="2" max="2" width="8.85546875" style="61" customWidth="1"/>
    <col min="3" max="3" width="16.7109375" style="61" customWidth="1"/>
    <col min="4" max="4" width="8" style="61" customWidth="1"/>
    <col min="5" max="5" width="16.85546875" style="61" customWidth="1"/>
    <col min="6" max="6" width="9.7109375" style="61" customWidth="1"/>
    <col min="7" max="7" width="10" style="61" customWidth="1"/>
    <col min="8" max="8" width="9.42578125" style="86" customWidth="1"/>
    <col min="9" max="12" width="5.85546875" style="61" customWidth="1"/>
    <col min="13" max="26" width="8.85546875" style="61" customWidth="1"/>
    <col min="27" max="16384" width="14.42578125" style="61"/>
  </cols>
  <sheetData>
    <row r="1" spans="1:12" ht="14.25" customHeight="1" x14ac:dyDescent="0.25">
      <c r="A1" s="64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60"/>
      <c r="B8" s="60"/>
      <c r="C8" s="60"/>
      <c r="D8" s="60"/>
      <c r="E8" s="4"/>
      <c r="F8" s="60"/>
      <c r="G8" s="60"/>
      <c r="H8" s="98"/>
      <c r="I8" s="60"/>
      <c r="J8" s="60"/>
      <c r="K8" s="60"/>
      <c r="L8" s="60"/>
    </row>
    <row r="9" spans="1:12" ht="20.25" customHeight="1" x14ac:dyDescent="0.3">
      <c r="A9" s="496" t="s">
        <v>69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thickBot="1" x14ac:dyDescent="0.3">
      <c r="A18" s="107"/>
      <c r="B18" s="728"/>
      <c r="C18" s="728"/>
      <c r="D18" s="68"/>
      <c r="E18" s="69"/>
      <c r="F18" s="108"/>
      <c r="G18" s="105"/>
      <c r="H18" s="110"/>
      <c r="I18" s="105"/>
      <c r="J18" s="105"/>
      <c r="K18" s="105"/>
      <c r="L18" s="106"/>
    </row>
    <row r="19" spans="1:12" ht="14.25" customHeight="1" x14ac:dyDescent="0.25">
      <c r="A19" s="162"/>
      <c r="B19" s="438"/>
      <c r="C19" s="439"/>
      <c r="D19" s="144"/>
      <c r="E19" s="134" t="s">
        <v>29</v>
      </c>
      <c r="F19" s="141"/>
      <c r="G19" s="141"/>
      <c r="H19" s="182"/>
      <c r="I19" s="143"/>
      <c r="J19" s="143"/>
      <c r="K19" s="12">
        <f>SUM(K18:K18)</f>
        <v>0</v>
      </c>
      <c r="L19" s="164">
        <f>SUM(L18:L18)</f>
        <v>0</v>
      </c>
    </row>
    <row r="20" spans="1:12" ht="14.25" customHeight="1" thickBot="1" x14ac:dyDescent="0.3">
      <c r="A20" s="151" t="s">
        <v>30</v>
      </c>
      <c r="B20" s="165"/>
      <c r="C20" s="144"/>
      <c r="D20" s="144"/>
      <c r="E20" s="138"/>
      <c r="F20" s="144"/>
      <c r="G20" s="144"/>
      <c r="H20" s="183"/>
      <c r="I20" s="144"/>
      <c r="J20" s="144"/>
      <c r="K20" s="144"/>
      <c r="L20" s="166"/>
    </row>
    <row r="21" spans="1:12" ht="14.25" customHeight="1" thickBot="1" x14ac:dyDescent="0.3">
      <c r="A21" s="736" t="s">
        <v>13</v>
      </c>
      <c r="B21" s="737" t="s">
        <v>14</v>
      </c>
      <c r="C21" s="738"/>
      <c r="D21" s="739" t="s">
        <v>15</v>
      </c>
      <c r="E21" s="737" t="s">
        <v>16</v>
      </c>
      <c r="F21" s="740"/>
      <c r="G21" s="738"/>
      <c r="H21" s="741" t="s">
        <v>19</v>
      </c>
      <c r="I21" s="167" t="s">
        <v>20</v>
      </c>
      <c r="J21" s="167" t="s">
        <v>20</v>
      </c>
      <c r="K21" s="167" t="s">
        <v>21</v>
      </c>
      <c r="L21" s="168" t="s">
        <v>22</v>
      </c>
    </row>
    <row r="22" spans="1:12" ht="14.25" customHeight="1" x14ac:dyDescent="0.25">
      <c r="A22" s="525"/>
      <c r="B22" s="482"/>
      <c r="C22" s="472"/>
      <c r="D22" s="529"/>
      <c r="E22" s="482"/>
      <c r="F22" s="437"/>
      <c r="G22" s="472"/>
      <c r="H22" s="531"/>
      <c r="I22" s="157" t="s">
        <v>23</v>
      </c>
      <c r="J22" s="157" t="s">
        <v>24</v>
      </c>
      <c r="K22" s="157" t="s">
        <v>25</v>
      </c>
      <c r="L22" s="158" t="s">
        <v>26</v>
      </c>
    </row>
    <row r="23" spans="1:12" ht="14.25" customHeight="1" thickBot="1" x14ac:dyDescent="0.3">
      <c r="A23" s="636"/>
      <c r="B23" s="642"/>
      <c r="C23" s="643"/>
      <c r="D23" s="62"/>
      <c r="E23" s="644"/>
      <c r="F23" s="501"/>
      <c r="G23" s="645"/>
      <c r="H23" s="184"/>
      <c r="I23" s="62"/>
      <c r="J23" s="62"/>
      <c r="K23" s="62"/>
      <c r="L23" s="46"/>
    </row>
    <row r="24" spans="1:12" ht="14.25" customHeight="1" x14ac:dyDescent="0.25">
      <c r="D24" s="10" t="s">
        <v>31</v>
      </c>
      <c r="E24" s="17"/>
      <c r="F24" s="11"/>
      <c r="G24" s="11"/>
      <c r="H24" s="173"/>
      <c r="I24" s="11"/>
      <c r="K24" s="32">
        <f t="shared" ref="K24:L24" si="0">SUM(K23)</f>
        <v>0</v>
      </c>
      <c r="L24" s="32">
        <f t="shared" si="0"/>
        <v>0</v>
      </c>
    </row>
    <row r="25" spans="1:12" ht="14.25" customHeight="1" thickBot="1" x14ac:dyDescent="0.3">
      <c r="A25" s="7" t="s">
        <v>32</v>
      </c>
      <c r="B25" s="18"/>
      <c r="C25" s="19"/>
      <c r="D25" s="19"/>
      <c r="E25" s="2"/>
      <c r="F25" s="19"/>
      <c r="G25" s="19"/>
      <c r="H25" s="175"/>
      <c r="I25" s="19"/>
      <c r="J25" s="19"/>
      <c r="K25" s="19"/>
      <c r="L25" s="19"/>
    </row>
    <row r="26" spans="1:12" ht="14.25" customHeight="1" x14ac:dyDescent="0.25">
      <c r="A26" s="742" t="s">
        <v>15</v>
      </c>
      <c r="B26" s="503"/>
      <c r="C26" s="527"/>
      <c r="D26" s="526" t="s">
        <v>16</v>
      </c>
      <c r="E26" s="503"/>
      <c r="F26" s="527"/>
      <c r="G26" s="526" t="s">
        <v>33</v>
      </c>
      <c r="H26" s="503"/>
      <c r="I26" s="503"/>
      <c r="J26" s="527"/>
      <c r="K26" s="526" t="s">
        <v>34</v>
      </c>
      <c r="L26" s="734"/>
    </row>
    <row r="27" spans="1:12" ht="14.25" customHeight="1" x14ac:dyDescent="0.25">
      <c r="A27" s="743"/>
      <c r="B27" s="437"/>
      <c r="C27" s="472"/>
      <c r="D27" s="482"/>
      <c r="E27" s="437"/>
      <c r="F27" s="472"/>
      <c r="G27" s="482"/>
      <c r="H27" s="437"/>
      <c r="I27" s="437"/>
      <c r="J27" s="472"/>
      <c r="K27" s="482"/>
      <c r="L27" s="735"/>
    </row>
    <row r="28" spans="1:12" ht="13.5" customHeight="1" thickBot="1" x14ac:dyDescent="0.3">
      <c r="A28" s="730"/>
      <c r="B28" s="642"/>
      <c r="C28" s="643"/>
      <c r="D28" s="731"/>
      <c r="E28" s="642"/>
      <c r="F28" s="643"/>
      <c r="G28" s="731"/>
      <c r="H28" s="642"/>
      <c r="I28" s="642"/>
      <c r="J28" s="643"/>
      <c r="K28" s="732"/>
      <c r="L28" s="733"/>
    </row>
    <row r="29" spans="1:12" ht="14.25" customHeight="1" x14ac:dyDescent="0.25">
      <c r="A29" s="63"/>
      <c r="B29" s="63"/>
      <c r="C29" s="63"/>
      <c r="D29" s="10" t="s">
        <v>35</v>
      </c>
      <c r="E29" s="17"/>
      <c r="F29" s="11"/>
      <c r="G29" s="11"/>
      <c r="H29" s="173"/>
      <c r="I29" s="11"/>
      <c r="J29" s="20"/>
      <c r="K29" s="451"/>
      <c r="L29" s="437"/>
    </row>
    <row r="30" spans="1:12" ht="14.25" customHeight="1" x14ac:dyDescent="0.25">
      <c r="A30" s="63"/>
      <c r="B30" s="63"/>
      <c r="C30" s="63"/>
      <c r="D30" s="10" t="s">
        <v>36</v>
      </c>
      <c r="E30" s="17"/>
      <c r="F30" s="11"/>
      <c r="G30" s="11"/>
      <c r="H30" s="173"/>
      <c r="I30" s="11"/>
      <c r="K30" s="452">
        <f>L19+L24+K29</f>
        <v>0</v>
      </c>
      <c r="L30" s="453"/>
    </row>
    <row r="31" spans="1:12" ht="14.25" customHeight="1" thickBot="1" x14ac:dyDescent="0.3">
      <c r="A31" s="7" t="s">
        <v>37</v>
      </c>
      <c r="B31" s="19"/>
      <c r="D31" s="21"/>
      <c r="E31" s="22"/>
      <c r="F31" s="21"/>
      <c r="G31" s="21"/>
      <c r="H31" s="176"/>
      <c r="I31" s="21"/>
      <c r="J31" s="21"/>
      <c r="K31" s="23"/>
      <c r="L31" s="24"/>
    </row>
    <row r="32" spans="1:12" ht="14.25" customHeight="1" x14ac:dyDescent="0.25">
      <c r="A32" s="485" t="s">
        <v>13</v>
      </c>
      <c r="B32" s="487" t="s">
        <v>14</v>
      </c>
      <c r="C32" s="488"/>
      <c r="D32" s="487" t="s">
        <v>15</v>
      </c>
      <c r="E32" s="686" t="s">
        <v>16</v>
      </c>
      <c r="F32" s="448" t="s">
        <v>17</v>
      </c>
      <c r="G32" s="448" t="s">
        <v>18</v>
      </c>
      <c r="H32" s="441" t="s">
        <v>19</v>
      </c>
      <c r="I32" s="74" t="s">
        <v>20</v>
      </c>
      <c r="J32" s="74" t="s">
        <v>20</v>
      </c>
      <c r="K32" s="74" t="s">
        <v>21</v>
      </c>
      <c r="L32" s="75" t="s">
        <v>22</v>
      </c>
    </row>
    <row r="33" spans="1:12" ht="14.25" customHeight="1" x14ac:dyDescent="0.25">
      <c r="A33" s="504"/>
      <c r="B33" s="505"/>
      <c r="C33" s="505"/>
      <c r="D33" s="505"/>
      <c r="E33" s="505"/>
      <c r="F33" s="505"/>
      <c r="G33" s="505"/>
      <c r="H33" s="506"/>
      <c r="I33" s="89" t="s">
        <v>23</v>
      </c>
      <c r="J33" s="89" t="s">
        <v>24</v>
      </c>
      <c r="K33" s="89" t="s">
        <v>25</v>
      </c>
      <c r="L33" s="90" t="s">
        <v>26</v>
      </c>
    </row>
    <row r="34" spans="1:12" ht="27" customHeight="1" x14ac:dyDescent="0.25">
      <c r="A34" s="245" t="s">
        <v>131</v>
      </c>
      <c r="B34" s="805" t="s">
        <v>153</v>
      </c>
      <c r="C34" s="729"/>
      <c r="D34" s="382" t="s">
        <v>159</v>
      </c>
      <c r="E34" s="243" t="s">
        <v>158</v>
      </c>
      <c r="F34" s="382">
        <v>23</v>
      </c>
      <c r="G34" s="382" t="s">
        <v>157</v>
      </c>
      <c r="H34" s="382">
        <v>40</v>
      </c>
      <c r="I34" s="382">
        <v>3</v>
      </c>
      <c r="J34" s="382">
        <v>0</v>
      </c>
      <c r="K34" s="382">
        <v>3</v>
      </c>
      <c r="L34" s="246">
        <v>3</v>
      </c>
    </row>
    <row r="35" spans="1:12" s="200" customFormat="1" ht="27" customHeight="1" x14ac:dyDescent="0.25">
      <c r="A35" s="245" t="s">
        <v>210</v>
      </c>
      <c r="B35" s="557" t="s">
        <v>211</v>
      </c>
      <c r="C35" s="557"/>
      <c r="D35" s="398" t="s">
        <v>159</v>
      </c>
      <c r="E35" s="243" t="s">
        <v>292</v>
      </c>
      <c r="F35" s="398" t="s">
        <v>291</v>
      </c>
      <c r="G35" s="366" t="s">
        <v>290</v>
      </c>
      <c r="H35" s="398">
        <v>40</v>
      </c>
      <c r="I35" s="398">
        <v>3</v>
      </c>
      <c r="J35" s="398">
        <v>3</v>
      </c>
      <c r="K35" s="398">
        <v>3</v>
      </c>
      <c r="L35" s="246">
        <v>3</v>
      </c>
    </row>
    <row r="36" spans="1:12" ht="27" customHeight="1" thickBot="1" x14ac:dyDescent="0.3">
      <c r="A36" s="255" t="s">
        <v>210</v>
      </c>
      <c r="B36" s="726" t="s">
        <v>211</v>
      </c>
      <c r="C36" s="726"/>
      <c r="D36" s="209" t="s">
        <v>159</v>
      </c>
      <c r="E36" s="83" t="s">
        <v>222</v>
      </c>
      <c r="F36" s="209" t="s">
        <v>221</v>
      </c>
      <c r="G36" s="365" t="s">
        <v>220</v>
      </c>
      <c r="H36" s="209">
        <v>40</v>
      </c>
      <c r="I36" s="209">
        <v>3</v>
      </c>
      <c r="J36" s="209">
        <v>3</v>
      </c>
      <c r="K36" s="209">
        <v>3</v>
      </c>
      <c r="L36" s="212">
        <v>3</v>
      </c>
    </row>
    <row r="37" spans="1:12" ht="14.25" customHeight="1" x14ac:dyDescent="0.25">
      <c r="A37" s="523"/>
      <c r="B37" s="431"/>
      <c r="C37" s="431"/>
      <c r="D37" s="4" t="s">
        <v>39</v>
      </c>
      <c r="E37" s="22"/>
      <c r="F37" s="21"/>
      <c r="G37" s="21"/>
      <c r="H37" s="176"/>
      <c r="I37" s="21"/>
      <c r="J37" s="21"/>
      <c r="K37" s="266">
        <f>SUM(K34:K36)</f>
        <v>9</v>
      </c>
      <c r="L37" s="129">
        <f>SUM(L34:L36)</f>
        <v>9</v>
      </c>
    </row>
    <row r="38" spans="1:12" ht="14.25" customHeight="1" x14ac:dyDescent="0.25">
      <c r="A38" s="133"/>
      <c r="B38" s="133"/>
      <c r="C38" s="133"/>
      <c r="D38" s="134" t="s">
        <v>40</v>
      </c>
      <c r="E38" s="135"/>
      <c r="F38" s="136"/>
      <c r="G38" s="136"/>
      <c r="H38" s="185"/>
      <c r="I38" s="136"/>
      <c r="J38" s="136"/>
      <c r="K38" s="206">
        <f>SUM(K19,K24,K37)</f>
        <v>9</v>
      </c>
      <c r="L38" s="206">
        <f>(L19+L24+K29+L37)</f>
        <v>9</v>
      </c>
    </row>
    <row r="39" spans="1:12" ht="3.75" customHeight="1" x14ac:dyDescent="0.25">
      <c r="A39" s="133"/>
      <c r="B39" s="133"/>
      <c r="C39" s="133"/>
      <c r="D39" s="134"/>
      <c r="E39" s="135"/>
      <c r="F39" s="136"/>
      <c r="G39" s="136"/>
      <c r="H39" s="185"/>
      <c r="I39" s="136"/>
      <c r="J39" s="136"/>
      <c r="K39" s="137"/>
      <c r="L39" s="137"/>
    </row>
    <row r="40" spans="1:12" ht="16.5" x14ac:dyDescent="0.3">
      <c r="A40" s="440" t="s">
        <v>41</v>
      </c>
      <c r="B40" s="431"/>
      <c r="C40" s="431"/>
      <c r="D40" s="27"/>
      <c r="E40" s="27"/>
      <c r="F40" s="27"/>
      <c r="G40" s="27"/>
      <c r="H40" s="178" t="s">
        <v>42</v>
      </c>
      <c r="I40" s="6"/>
      <c r="J40" s="6"/>
      <c r="K40" s="6"/>
      <c r="L40" s="5"/>
    </row>
    <row r="41" spans="1:12" x14ac:dyDescent="0.25">
      <c r="A41" s="28"/>
      <c r="B41" s="28"/>
      <c r="C41" s="28"/>
      <c r="D41" s="20"/>
      <c r="E41" s="2"/>
      <c r="F41" s="20"/>
      <c r="G41" s="20"/>
      <c r="H41" s="179"/>
      <c r="I41" s="28"/>
      <c r="J41" s="28"/>
      <c r="K41" s="28"/>
      <c r="L41" s="28"/>
    </row>
    <row r="42" spans="1:12" x14ac:dyDescent="0.25">
      <c r="A42" s="432" t="s">
        <v>43</v>
      </c>
      <c r="B42" s="431"/>
      <c r="C42" s="431"/>
      <c r="D42" s="27"/>
      <c r="E42" s="27"/>
      <c r="F42" s="27"/>
      <c r="G42" s="27"/>
      <c r="H42" s="433" t="s">
        <v>44</v>
      </c>
      <c r="I42" s="434"/>
      <c r="J42" s="434"/>
      <c r="K42" s="434"/>
      <c r="L42" s="434"/>
    </row>
    <row r="43" spans="1:12" x14ac:dyDescent="0.25">
      <c r="A43" s="435" t="s">
        <v>45</v>
      </c>
      <c r="B43" s="431"/>
      <c r="C43" s="431"/>
      <c r="D43" s="27"/>
      <c r="E43" s="27"/>
      <c r="F43" s="27"/>
      <c r="G43" s="27"/>
      <c r="H43" s="435" t="s">
        <v>46</v>
      </c>
      <c r="I43" s="431"/>
      <c r="J43" s="431"/>
      <c r="K43" s="431"/>
      <c r="L43" s="431"/>
    </row>
    <row r="44" spans="1:12" x14ac:dyDescent="0.25">
      <c r="A44" s="20"/>
      <c r="B44" s="20"/>
      <c r="C44" s="20"/>
      <c r="D44" s="20"/>
      <c r="E44" s="2"/>
      <c r="F44" s="20"/>
      <c r="G44" s="20"/>
      <c r="H44" s="180"/>
      <c r="I44" s="20"/>
      <c r="J44" s="20"/>
      <c r="K44" s="20"/>
      <c r="L44" s="20"/>
    </row>
    <row r="45" spans="1:12" x14ac:dyDescent="0.25">
      <c r="A45" s="20"/>
      <c r="B45" s="20"/>
      <c r="C45" s="270"/>
      <c r="D45" s="436" t="s">
        <v>192</v>
      </c>
      <c r="E45" s="437"/>
      <c r="F45" s="437"/>
      <c r="G45" s="437"/>
      <c r="H45" s="437"/>
      <c r="I45" s="437"/>
      <c r="J45" s="20"/>
      <c r="K45" s="20"/>
      <c r="L45" s="20"/>
    </row>
    <row r="46" spans="1:12" x14ac:dyDescent="0.25">
      <c r="A46" s="270"/>
      <c r="B46" s="270"/>
      <c r="C46" s="20"/>
      <c r="D46" s="433" t="s">
        <v>47</v>
      </c>
      <c r="E46" s="434"/>
      <c r="F46" s="434"/>
      <c r="G46" s="434"/>
      <c r="H46" s="434"/>
      <c r="I46" s="434"/>
      <c r="J46" s="20"/>
      <c r="K46" s="20"/>
      <c r="L46" s="20"/>
    </row>
    <row r="47" spans="1:12" x14ac:dyDescent="0.25">
      <c r="E47" s="2"/>
    </row>
    <row r="48" spans="1:12" x14ac:dyDescent="0.25">
      <c r="E48" s="2"/>
    </row>
    <row r="49" spans="5:5" ht="14.25" customHeight="1" x14ac:dyDescent="0.25">
      <c r="E49" s="2"/>
    </row>
    <row r="50" spans="5:5" ht="14.25" customHeight="1" x14ac:dyDescent="0.25">
      <c r="E50" s="2"/>
    </row>
    <row r="51" spans="5:5" ht="14.25" customHeight="1" x14ac:dyDescent="0.25">
      <c r="E51" s="2"/>
    </row>
    <row r="52" spans="5:5" ht="14.25" customHeight="1" x14ac:dyDescent="0.25">
      <c r="E52" s="2"/>
    </row>
    <row r="53" spans="5:5" ht="14.25" customHeight="1" x14ac:dyDescent="0.25">
      <c r="E53" s="2"/>
    </row>
    <row r="54" spans="5:5" ht="14.25" customHeight="1" x14ac:dyDescent="0.25">
      <c r="E54" s="2"/>
    </row>
    <row r="55" spans="5:5" ht="14.25" customHeight="1" x14ac:dyDescent="0.25">
      <c r="E55" s="2"/>
    </row>
    <row r="56" spans="5:5" ht="14.25" customHeight="1" x14ac:dyDescent="0.25">
      <c r="E56" s="2"/>
    </row>
    <row r="57" spans="5:5" ht="14.25" customHeight="1" x14ac:dyDescent="0.25">
      <c r="E57" s="2"/>
    </row>
    <row r="58" spans="5:5" ht="14.25" customHeight="1" x14ac:dyDescent="0.25">
      <c r="E58" s="2"/>
    </row>
    <row r="59" spans="5:5" ht="14.25" customHeight="1" x14ac:dyDescent="0.25">
      <c r="E59" s="2"/>
    </row>
    <row r="60" spans="5:5" ht="14.25" customHeight="1" x14ac:dyDescent="0.25">
      <c r="E60" s="2"/>
    </row>
    <row r="61" spans="5:5" ht="14.25" customHeight="1" x14ac:dyDescent="0.25">
      <c r="E61" s="2"/>
    </row>
    <row r="62" spans="5:5" ht="14.25" customHeight="1" x14ac:dyDescent="0.25">
      <c r="E62" s="2"/>
    </row>
    <row r="63" spans="5:5" ht="14.25" customHeight="1" x14ac:dyDescent="0.25">
      <c r="E63" s="2"/>
    </row>
    <row r="64" spans="5:5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</sheetData>
  <mergeCells count="52"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7:L7"/>
    <mergeCell ref="A2:L2"/>
    <mergeCell ref="A3:L3"/>
    <mergeCell ref="A4:L4"/>
    <mergeCell ref="A5:L5"/>
    <mergeCell ref="A6:L6"/>
    <mergeCell ref="H21:H22"/>
    <mergeCell ref="A23:C23"/>
    <mergeCell ref="E23:G23"/>
    <mergeCell ref="A26:C27"/>
    <mergeCell ref="D26:F27"/>
    <mergeCell ref="G26:J27"/>
    <mergeCell ref="B19:C19"/>
    <mergeCell ref="A21:A22"/>
    <mergeCell ref="B21:C22"/>
    <mergeCell ref="D21:D22"/>
    <mergeCell ref="E21:G22"/>
    <mergeCell ref="D32:D33"/>
    <mergeCell ref="E32:E33"/>
    <mergeCell ref="F32:F33"/>
    <mergeCell ref="G32:G33"/>
    <mergeCell ref="K26:L27"/>
    <mergeCell ref="A43:C43"/>
    <mergeCell ref="H43:L43"/>
    <mergeCell ref="D45:I45"/>
    <mergeCell ref="D46:I46"/>
    <mergeCell ref="B18:C18"/>
    <mergeCell ref="B34:C34"/>
    <mergeCell ref="K30:L30"/>
    <mergeCell ref="A28:C28"/>
    <mergeCell ref="D28:F28"/>
    <mergeCell ref="G28:J28"/>
    <mergeCell ref="K28:L28"/>
    <mergeCell ref="K29:L29"/>
    <mergeCell ref="H32:H33"/>
    <mergeCell ref="A32:A33"/>
    <mergeCell ref="B32:C33"/>
    <mergeCell ref="B35:C35"/>
    <mergeCell ref="A37:C37"/>
    <mergeCell ref="A40:C40"/>
    <mergeCell ref="A42:C42"/>
    <mergeCell ref="H42:L42"/>
    <mergeCell ref="B36:C36"/>
  </mergeCells>
  <pageMargins left="0.5" right="0.25" top="0.25" bottom="0.25" header="0" footer="0"/>
  <pageSetup paperSize="5" scale="8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90"/>
  <sheetViews>
    <sheetView topLeftCell="A26" zoomScaleNormal="100" workbookViewId="0">
      <selection activeCell="B38" sqref="B38:C39"/>
    </sheetView>
  </sheetViews>
  <sheetFormatPr defaultColWidth="14.42578125" defaultRowHeight="15" customHeight="1" x14ac:dyDescent="0.25"/>
  <cols>
    <col min="1" max="1" width="10" style="61" customWidth="1"/>
    <col min="2" max="2" width="8.85546875" style="61" customWidth="1"/>
    <col min="3" max="3" width="16.7109375" style="61" customWidth="1"/>
    <col min="4" max="4" width="8" style="61" customWidth="1"/>
    <col min="5" max="5" width="16.85546875" style="61" customWidth="1"/>
    <col min="6" max="6" width="9.7109375" style="61" customWidth="1"/>
    <col min="7" max="7" width="10" style="61" customWidth="1"/>
    <col min="8" max="8" width="9.42578125" style="86" customWidth="1"/>
    <col min="9" max="12" width="5.85546875" style="61" customWidth="1"/>
    <col min="13" max="26" width="8.85546875" style="61" customWidth="1"/>
    <col min="27" max="16384" width="14.42578125" style="61"/>
  </cols>
  <sheetData>
    <row r="1" spans="1:12" ht="14.25" customHeight="1" x14ac:dyDescent="0.25">
      <c r="A1" s="64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60"/>
      <c r="B8" s="60"/>
      <c r="C8" s="60"/>
      <c r="D8" s="60"/>
      <c r="E8" s="4"/>
      <c r="F8" s="60"/>
      <c r="G8" s="60"/>
      <c r="H8" s="98"/>
      <c r="I8" s="60"/>
      <c r="J8" s="60"/>
      <c r="K8" s="60"/>
      <c r="L8" s="60"/>
    </row>
    <row r="9" spans="1:12" ht="20.25" customHeight="1" x14ac:dyDescent="0.3">
      <c r="A9" s="496" t="s">
        <v>70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thickBot="1" x14ac:dyDescent="0.3">
      <c r="A18" s="107"/>
      <c r="B18" s="728"/>
      <c r="C18" s="728"/>
      <c r="D18" s="68"/>
      <c r="E18" s="69"/>
      <c r="F18" s="108"/>
      <c r="G18" s="105"/>
      <c r="H18" s="110"/>
      <c r="I18" s="105"/>
      <c r="J18" s="105"/>
      <c r="K18" s="105"/>
      <c r="L18" s="106"/>
    </row>
    <row r="19" spans="1:12" ht="14.25" customHeight="1" x14ac:dyDescent="0.25">
      <c r="A19" s="162"/>
      <c r="B19" s="438"/>
      <c r="C19" s="439"/>
      <c r="D19" s="144"/>
      <c r="E19" s="134" t="s">
        <v>29</v>
      </c>
      <c r="F19" s="141"/>
      <c r="G19" s="141"/>
      <c r="H19" s="182"/>
      <c r="I19" s="143"/>
      <c r="J19" s="143"/>
      <c r="K19" s="12">
        <f>SUM(K18:K18)</f>
        <v>0</v>
      </c>
      <c r="L19" s="164">
        <f>SUM(L18:L18)</f>
        <v>0</v>
      </c>
    </row>
    <row r="20" spans="1:12" ht="14.25" customHeight="1" thickBot="1" x14ac:dyDescent="0.3">
      <c r="A20" s="151" t="s">
        <v>30</v>
      </c>
      <c r="B20" s="165"/>
      <c r="C20" s="144"/>
      <c r="D20" s="144"/>
      <c r="E20" s="138"/>
      <c r="F20" s="144"/>
      <c r="G20" s="144"/>
      <c r="H20" s="183"/>
      <c r="I20" s="144"/>
      <c r="J20" s="144"/>
      <c r="K20" s="144"/>
      <c r="L20" s="166"/>
    </row>
    <row r="21" spans="1:12" ht="14.25" customHeight="1" thickBot="1" x14ac:dyDescent="0.3">
      <c r="A21" s="736" t="s">
        <v>13</v>
      </c>
      <c r="B21" s="737" t="s">
        <v>14</v>
      </c>
      <c r="C21" s="738"/>
      <c r="D21" s="739" t="s">
        <v>15</v>
      </c>
      <c r="E21" s="737" t="s">
        <v>16</v>
      </c>
      <c r="F21" s="740"/>
      <c r="G21" s="738"/>
      <c r="H21" s="741" t="s">
        <v>19</v>
      </c>
      <c r="I21" s="167" t="s">
        <v>20</v>
      </c>
      <c r="J21" s="167" t="s">
        <v>20</v>
      </c>
      <c r="K21" s="167" t="s">
        <v>21</v>
      </c>
      <c r="L21" s="168" t="s">
        <v>22</v>
      </c>
    </row>
    <row r="22" spans="1:12" ht="14.25" customHeight="1" x14ac:dyDescent="0.25">
      <c r="A22" s="525"/>
      <c r="B22" s="482"/>
      <c r="C22" s="472"/>
      <c r="D22" s="529"/>
      <c r="E22" s="482"/>
      <c r="F22" s="437"/>
      <c r="G22" s="472"/>
      <c r="H22" s="531"/>
      <c r="I22" s="157" t="s">
        <v>23</v>
      </c>
      <c r="J22" s="157" t="s">
        <v>24</v>
      </c>
      <c r="K22" s="157" t="s">
        <v>25</v>
      </c>
      <c r="L22" s="158" t="s">
        <v>26</v>
      </c>
    </row>
    <row r="23" spans="1:12" ht="14.25" customHeight="1" thickBot="1" x14ac:dyDescent="0.3">
      <c r="A23" s="636"/>
      <c r="B23" s="642"/>
      <c r="C23" s="643"/>
      <c r="D23" s="62"/>
      <c r="E23" s="644"/>
      <c r="F23" s="501"/>
      <c r="G23" s="645"/>
      <c r="H23" s="184"/>
      <c r="I23" s="62"/>
      <c r="J23" s="62"/>
      <c r="K23" s="62"/>
      <c r="L23" s="46"/>
    </row>
    <row r="24" spans="1:12" ht="14.25" customHeight="1" x14ac:dyDescent="0.25">
      <c r="D24" s="10" t="s">
        <v>31</v>
      </c>
      <c r="E24" s="17"/>
      <c r="F24" s="11"/>
      <c r="G24" s="11"/>
      <c r="H24" s="173"/>
      <c r="I24" s="11"/>
      <c r="K24" s="32">
        <f t="shared" ref="K24:L24" si="0">SUM(K23)</f>
        <v>0</v>
      </c>
      <c r="L24" s="32">
        <f t="shared" si="0"/>
        <v>0</v>
      </c>
    </row>
    <row r="25" spans="1:12" ht="14.25" customHeight="1" thickBot="1" x14ac:dyDescent="0.3">
      <c r="A25" s="7" t="s">
        <v>32</v>
      </c>
      <c r="B25" s="18"/>
      <c r="C25" s="19"/>
      <c r="D25" s="19"/>
      <c r="E25" s="2"/>
      <c r="F25" s="19"/>
      <c r="G25" s="19"/>
      <c r="H25" s="175"/>
      <c r="I25" s="19"/>
      <c r="J25" s="19"/>
      <c r="K25" s="19"/>
      <c r="L25" s="19"/>
    </row>
    <row r="26" spans="1:12" ht="14.25" customHeight="1" x14ac:dyDescent="0.25">
      <c r="A26" s="742" t="s">
        <v>15</v>
      </c>
      <c r="B26" s="503"/>
      <c r="C26" s="527"/>
      <c r="D26" s="526" t="s">
        <v>16</v>
      </c>
      <c r="E26" s="503"/>
      <c r="F26" s="527"/>
      <c r="G26" s="526" t="s">
        <v>33</v>
      </c>
      <c r="H26" s="503"/>
      <c r="I26" s="503"/>
      <c r="J26" s="527"/>
      <c r="K26" s="526" t="s">
        <v>34</v>
      </c>
      <c r="L26" s="734"/>
    </row>
    <row r="27" spans="1:12" ht="14.25" customHeight="1" x14ac:dyDescent="0.25">
      <c r="A27" s="743"/>
      <c r="B27" s="437"/>
      <c r="C27" s="472"/>
      <c r="D27" s="482"/>
      <c r="E27" s="437"/>
      <c r="F27" s="472"/>
      <c r="G27" s="482"/>
      <c r="H27" s="437"/>
      <c r="I27" s="437"/>
      <c r="J27" s="472"/>
      <c r="K27" s="482"/>
      <c r="L27" s="735"/>
    </row>
    <row r="28" spans="1:12" ht="14.25" customHeight="1" x14ac:dyDescent="0.25">
      <c r="A28" s="756"/>
      <c r="B28" s="453"/>
      <c r="C28" s="477"/>
      <c r="D28" s="539"/>
      <c r="E28" s="453"/>
      <c r="F28" s="477"/>
      <c r="G28" s="539"/>
      <c r="H28" s="453"/>
      <c r="I28" s="453"/>
      <c r="J28" s="477"/>
      <c r="K28" s="478"/>
      <c r="L28" s="757"/>
    </row>
    <row r="29" spans="1:12" ht="14.25" customHeight="1" x14ac:dyDescent="0.25">
      <c r="A29" s="756"/>
      <c r="B29" s="453"/>
      <c r="C29" s="477"/>
      <c r="D29" s="539"/>
      <c r="E29" s="453"/>
      <c r="F29" s="477"/>
      <c r="G29" s="539"/>
      <c r="H29" s="453"/>
      <c r="I29" s="453"/>
      <c r="J29" s="477"/>
      <c r="K29" s="478"/>
      <c r="L29" s="757"/>
    </row>
    <row r="30" spans="1:12" ht="13.5" customHeight="1" thickBot="1" x14ac:dyDescent="0.3">
      <c r="A30" s="730"/>
      <c r="B30" s="642"/>
      <c r="C30" s="643"/>
      <c r="D30" s="731"/>
      <c r="E30" s="642"/>
      <c r="F30" s="643"/>
      <c r="G30" s="731"/>
      <c r="H30" s="642"/>
      <c r="I30" s="642"/>
      <c r="J30" s="643"/>
      <c r="K30" s="732"/>
      <c r="L30" s="733"/>
    </row>
    <row r="31" spans="1:12" ht="14.25" customHeight="1" x14ac:dyDescent="0.25">
      <c r="A31" s="63"/>
      <c r="B31" s="63"/>
      <c r="C31" s="63"/>
      <c r="D31" s="10" t="s">
        <v>35</v>
      </c>
      <c r="E31" s="17"/>
      <c r="F31" s="11"/>
      <c r="G31" s="11"/>
      <c r="H31" s="173"/>
      <c r="I31" s="11"/>
      <c r="J31" s="20"/>
      <c r="K31" s="451"/>
      <c r="L31" s="437"/>
    </row>
    <row r="32" spans="1:12" ht="14.25" customHeight="1" x14ac:dyDescent="0.25">
      <c r="A32" s="63"/>
      <c r="B32" s="63"/>
      <c r="C32" s="63"/>
      <c r="D32" s="10" t="s">
        <v>36</v>
      </c>
      <c r="E32" s="17"/>
      <c r="F32" s="11"/>
      <c r="G32" s="11"/>
      <c r="H32" s="173"/>
      <c r="I32" s="11"/>
      <c r="K32" s="452">
        <f>L19+L24+K31</f>
        <v>0</v>
      </c>
      <c r="L32" s="453"/>
    </row>
    <row r="33" spans="1:12" ht="14.25" customHeight="1" thickBot="1" x14ac:dyDescent="0.3">
      <c r="A33" s="7" t="s">
        <v>37</v>
      </c>
      <c r="B33" s="19"/>
      <c r="D33" s="21"/>
      <c r="E33" s="22"/>
      <c r="F33" s="21"/>
      <c r="G33" s="21"/>
      <c r="H33" s="176"/>
      <c r="I33" s="21"/>
      <c r="J33" s="21"/>
      <c r="K33" s="23"/>
      <c r="L33" s="24"/>
    </row>
    <row r="34" spans="1:12" ht="14.25" customHeight="1" x14ac:dyDescent="0.25">
      <c r="A34" s="567" t="s">
        <v>13</v>
      </c>
      <c r="B34" s="480" t="s">
        <v>14</v>
      </c>
      <c r="C34" s="752"/>
      <c r="D34" s="571" t="s">
        <v>15</v>
      </c>
      <c r="E34" s="571" t="s">
        <v>16</v>
      </c>
      <c r="F34" s="593" t="s">
        <v>17</v>
      </c>
      <c r="G34" s="593" t="s">
        <v>18</v>
      </c>
      <c r="H34" s="574" t="s">
        <v>19</v>
      </c>
      <c r="I34" s="40" t="s">
        <v>20</v>
      </c>
      <c r="J34" s="40" t="s">
        <v>20</v>
      </c>
      <c r="K34" s="40" t="s">
        <v>21</v>
      </c>
      <c r="L34" s="41" t="s">
        <v>22</v>
      </c>
    </row>
    <row r="35" spans="1:12" ht="14.25" customHeight="1" thickBot="1" x14ac:dyDescent="0.3">
      <c r="A35" s="751"/>
      <c r="B35" s="753"/>
      <c r="C35" s="754"/>
      <c r="D35" s="755"/>
      <c r="E35" s="755"/>
      <c r="F35" s="755"/>
      <c r="G35" s="755"/>
      <c r="H35" s="745"/>
      <c r="I35" s="42" t="s">
        <v>23</v>
      </c>
      <c r="J35" s="42" t="s">
        <v>24</v>
      </c>
      <c r="K35" s="42" t="s">
        <v>25</v>
      </c>
      <c r="L35" s="43" t="s">
        <v>26</v>
      </c>
    </row>
    <row r="36" spans="1:12" ht="14.25" customHeight="1" x14ac:dyDescent="0.25">
      <c r="A36" s="746" t="s">
        <v>124</v>
      </c>
      <c r="B36" s="747" t="s">
        <v>125</v>
      </c>
      <c r="C36" s="748"/>
      <c r="D36" s="113" t="s">
        <v>89</v>
      </c>
      <c r="E36" s="114" t="s">
        <v>111</v>
      </c>
      <c r="F36" s="262" t="s">
        <v>110</v>
      </c>
      <c r="G36" s="689" t="s">
        <v>177</v>
      </c>
      <c r="H36" s="689">
        <v>40</v>
      </c>
      <c r="I36" s="689">
        <v>2</v>
      </c>
      <c r="J36" s="689">
        <v>1</v>
      </c>
      <c r="K36" s="689">
        <v>3</v>
      </c>
      <c r="L36" s="744">
        <v>5</v>
      </c>
    </row>
    <row r="37" spans="1:12" ht="14.25" customHeight="1" x14ac:dyDescent="0.25">
      <c r="A37" s="578"/>
      <c r="B37" s="749"/>
      <c r="C37" s="750"/>
      <c r="D37" s="113" t="s">
        <v>49</v>
      </c>
      <c r="E37" s="114" t="s">
        <v>105</v>
      </c>
      <c r="F37" s="262">
        <v>20</v>
      </c>
      <c r="G37" s="566"/>
      <c r="H37" s="566"/>
      <c r="I37" s="566"/>
      <c r="J37" s="566"/>
      <c r="K37" s="566"/>
      <c r="L37" s="580"/>
    </row>
    <row r="38" spans="1:12" s="200" customFormat="1" ht="14.25" customHeight="1" x14ac:dyDescent="0.25">
      <c r="A38" s="511" t="s">
        <v>121</v>
      </c>
      <c r="B38" s="623" t="s">
        <v>122</v>
      </c>
      <c r="C38" s="623"/>
      <c r="D38" s="113" t="s">
        <v>28</v>
      </c>
      <c r="E38" s="114" t="s">
        <v>170</v>
      </c>
      <c r="F38" s="198" t="s">
        <v>102</v>
      </c>
      <c r="G38" s="513" t="s">
        <v>176</v>
      </c>
      <c r="H38" s="687">
        <v>40</v>
      </c>
      <c r="I38" s="513">
        <v>2</v>
      </c>
      <c r="J38" s="513">
        <v>1</v>
      </c>
      <c r="K38" s="513">
        <v>3</v>
      </c>
      <c r="L38" s="514">
        <v>5</v>
      </c>
    </row>
    <row r="39" spans="1:12" s="200" customFormat="1" ht="14.25" customHeight="1" thickBot="1" x14ac:dyDescent="0.3">
      <c r="A39" s="558"/>
      <c r="B39" s="622"/>
      <c r="C39" s="622"/>
      <c r="D39" s="124" t="s">
        <v>89</v>
      </c>
      <c r="E39" s="230" t="s">
        <v>107</v>
      </c>
      <c r="F39" s="199">
        <v>20</v>
      </c>
      <c r="G39" s="551"/>
      <c r="H39" s="688"/>
      <c r="I39" s="551"/>
      <c r="J39" s="551"/>
      <c r="K39" s="551"/>
      <c r="L39" s="552"/>
    </row>
    <row r="40" spans="1:12" x14ac:dyDescent="0.25">
      <c r="A40" s="523"/>
      <c r="B40" s="431"/>
      <c r="C40" s="431"/>
      <c r="D40" s="4" t="s">
        <v>39</v>
      </c>
      <c r="E40" s="22"/>
      <c r="F40" s="21"/>
      <c r="G40" s="21"/>
      <c r="H40" s="176"/>
      <c r="I40" s="21"/>
      <c r="J40" s="21"/>
      <c r="K40" s="129">
        <v>10</v>
      </c>
      <c r="L40" s="129">
        <v>10</v>
      </c>
    </row>
    <row r="41" spans="1:12" x14ac:dyDescent="0.25">
      <c r="A41" s="133"/>
      <c r="B41" s="133"/>
      <c r="C41" s="133"/>
      <c r="D41" s="134" t="s">
        <v>40</v>
      </c>
      <c r="E41" s="135"/>
      <c r="F41" s="136"/>
      <c r="G41" s="136"/>
      <c r="H41" s="185"/>
      <c r="I41" s="136"/>
      <c r="J41" s="136"/>
      <c r="K41" s="206">
        <f>SUM(K19,K24,K40)</f>
        <v>10</v>
      </c>
      <c r="L41" s="206">
        <f>(L19+L24+K31+L40)</f>
        <v>10</v>
      </c>
    </row>
    <row r="42" spans="1:12" x14ac:dyDescent="0.25">
      <c r="A42" s="133"/>
      <c r="B42" s="133"/>
      <c r="C42" s="133"/>
      <c r="D42" s="134"/>
      <c r="E42" s="135"/>
      <c r="F42" s="136"/>
      <c r="G42" s="136"/>
      <c r="H42" s="185"/>
      <c r="I42" s="136"/>
      <c r="J42" s="136"/>
      <c r="K42" s="137"/>
      <c r="L42" s="137"/>
    </row>
    <row r="43" spans="1:12" s="270" customFormat="1" ht="16.5" x14ac:dyDescent="0.3">
      <c r="A43" s="440" t="s">
        <v>41</v>
      </c>
      <c r="B43" s="431"/>
      <c r="C43" s="431"/>
      <c r="D43" s="27"/>
      <c r="E43" s="27"/>
      <c r="F43" s="27"/>
      <c r="G43" s="27"/>
      <c r="H43" s="178" t="s">
        <v>42</v>
      </c>
      <c r="I43" s="6"/>
      <c r="J43" s="6"/>
      <c r="K43" s="6"/>
      <c r="L43" s="5"/>
    </row>
    <row r="44" spans="1:12" s="270" customFormat="1" x14ac:dyDescent="0.25">
      <c r="A44" s="28"/>
      <c r="B44" s="28"/>
      <c r="C44" s="28"/>
      <c r="D44" s="20"/>
      <c r="E44" s="2"/>
      <c r="F44" s="20"/>
      <c r="G44" s="20"/>
      <c r="H44" s="179"/>
      <c r="I44" s="28"/>
      <c r="J44" s="28"/>
      <c r="K44" s="28"/>
      <c r="L44" s="28"/>
    </row>
    <row r="45" spans="1:12" s="270" customFormat="1" x14ac:dyDescent="0.25">
      <c r="A45" s="432" t="s">
        <v>43</v>
      </c>
      <c r="B45" s="431"/>
      <c r="C45" s="431"/>
      <c r="D45" s="27"/>
      <c r="E45" s="27"/>
      <c r="F45" s="27"/>
      <c r="G45" s="27"/>
      <c r="H45" s="433" t="s">
        <v>44</v>
      </c>
      <c r="I45" s="434"/>
      <c r="J45" s="434"/>
      <c r="K45" s="434"/>
      <c r="L45" s="434"/>
    </row>
    <row r="46" spans="1:12" s="270" customFormat="1" x14ac:dyDescent="0.25">
      <c r="A46" s="435" t="s">
        <v>45</v>
      </c>
      <c r="B46" s="431"/>
      <c r="C46" s="431"/>
      <c r="D46" s="27"/>
      <c r="E46" s="27"/>
      <c r="F46" s="27"/>
      <c r="G46" s="27"/>
      <c r="H46" s="435" t="s">
        <v>46</v>
      </c>
      <c r="I46" s="431"/>
      <c r="J46" s="431"/>
      <c r="K46" s="431"/>
      <c r="L46" s="431"/>
    </row>
    <row r="47" spans="1:12" s="270" customFormat="1" x14ac:dyDescent="0.25">
      <c r="A47" s="20"/>
      <c r="B47" s="20"/>
      <c r="C47" s="20"/>
      <c r="D47" s="20"/>
      <c r="E47" s="2"/>
      <c r="F47" s="20"/>
      <c r="G47" s="20"/>
      <c r="H47" s="180"/>
      <c r="I47" s="20"/>
      <c r="J47" s="20"/>
      <c r="K47" s="20"/>
      <c r="L47" s="20"/>
    </row>
    <row r="48" spans="1:12" s="270" customFormat="1" x14ac:dyDescent="0.25">
      <c r="A48" s="20"/>
      <c r="B48" s="20"/>
      <c r="D48" s="436" t="s">
        <v>192</v>
      </c>
      <c r="E48" s="437"/>
      <c r="F48" s="437"/>
      <c r="G48" s="437"/>
      <c r="H48" s="437"/>
      <c r="I48" s="437"/>
      <c r="J48" s="20"/>
      <c r="K48" s="20"/>
      <c r="L48" s="20"/>
    </row>
    <row r="49" spans="2:12" s="270" customFormat="1" x14ac:dyDescent="0.25">
      <c r="B49" s="86"/>
      <c r="C49" s="20"/>
      <c r="D49" s="433" t="s">
        <v>47</v>
      </c>
      <c r="E49" s="434"/>
      <c r="F49" s="434"/>
      <c r="G49" s="434"/>
      <c r="H49" s="434"/>
      <c r="I49" s="434"/>
      <c r="J49" s="20"/>
      <c r="K49" s="20"/>
      <c r="L49" s="20"/>
    </row>
    <row r="50" spans="2:12" s="270" customFormat="1" x14ac:dyDescent="0.25">
      <c r="E50" s="2"/>
      <c r="H50" s="86"/>
    </row>
    <row r="51" spans="2:12" s="270" customFormat="1" x14ac:dyDescent="0.25">
      <c r="E51" s="2"/>
      <c r="H51" s="86"/>
    </row>
    <row r="52" spans="2:12" s="270" customFormat="1" x14ac:dyDescent="0.25">
      <c r="E52" s="2"/>
      <c r="H52" s="86"/>
    </row>
    <row r="53" spans="2:12" ht="14.25" customHeight="1" x14ac:dyDescent="0.25">
      <c r="E53" s="2"/>
    </row>
    <row r="54" spans="2:12" ht="14.25" customHeight="1" x14ac:dyDescent="0.25">
      <c r="E54" s="2"/>
    </row>
    <row r="55" spans="2:12" ht="14.25" customHeight="1" x14ac:dyDescent="0.25">
      <c r="E55" s="2"/>
    </row>
    <row r="56" spans="2:12" ht="14.25" customHeight="1" x14ac:dyDescent="0.25">
      <c r="E56" s="2"/>
    </row>
    <row r="57" spans="2:12" ht="14.25" customHeight="1" x14ac:dyDescent="0.25">
      <c r="E57" s="2"/>
    </row>
    <row r="58" spans="2:12" ht="14.25" customHeight="1" x14ac:dyDescent="0.25">
      <c r="E58" s="2"/>
    </row>
    <row r="59" spans="2:12" ht="14.25" customHeight="1" x14ac:dyDescent="0.25">
      <c r="E59" s="2"/>
    </row>
    <row r="60" spans="2:12" ht="14.25" customHeight="1" x14ac:dyDescent="0.25">
      <c r="E60" s="2"/>
    </row>
    <row r="61" spans="2:12" ht="14.25" customHeight="1" x14ac:dyDescent="0.25">
      <c r="E61" s="2"/>
    </row>
    <row r="62" spans="2:12" ht="14.25" customHeight="1" x14ac:dyDescent="0.25">
      <c r="E62" s="2"/>
    </row>
    <row r="63" spans="2:12" ht="14.25" customHeight="1" x14ac:dyDescent="0.25">
      <c r="E63" s="2"/>
    </row>
    <row r="64" spans="2:12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  <row r="988" spans="5:5" ht="14.25" customHeight="1" x14ac:dyDescent="0.25">
      <c r="E988" s="2"/>
    </row>
    <row r="989" spans="5:5" ht="14.25" customHeight="1" x14ac:dyDescent="0.25">
      <c r="E989" s="2"/>
    </row>
    <row r="990" spans="5:5" ht="14.25" customHeight="1" x14ac:dyDescent="0.25">
      <c r="E990" s="2"/>
    </row>
  </sheetData>
  <mergeCells count="73">
    <mergeCell ref="J38:J39"/>
    <mergeCell ref="K38:K39"/>
    <mergeCell ref="H38:H39"/>
    <mergeCell ref="G38:G39"/>
    <mergeCell ref="A7:L7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B18:C18"/>
    <mergeCell ref="B19:C19"/>
    <mergeCell ref="A2:L2"/>
    <mergeCell ref="A3:L3"/>
    <mergeCell ref="A4:L4"/>
    <mergeCell ref="A5:L5"/>
    <mergeCell ref="A6:L6"/>
    <mergeCell ref="A21:A22"/>
    <mergeCell ref="B21:C22"/>
    <mergeCell ref="D21:D22"/>
    <mergeCell ref="H21:H22"/>
    <mergeCell ref="A23:C23"/>
    <mergeCell ref="E23:G23"/>
    <mergeCell ref="A26:C27"/>
    <mergeCell ref="D26:F27"/>
    <mergeCell ref="G26:J27"/>
    <mergeCell ref="E21:G22"/>
    <mergeCell ref="K32:L32"/>
    <mergeCell ref="K26:L27"/>
    <mergeCell ref="A28:C28"/>
    <mergeCell ref="D28:F28"/>
    <mergeCell ref="G28:J28"/>
    <mergeCell ref="K28:L28"/>
    <mergeCell ref="A29:C29"/>
    <mergeCell ref="D29:F29"/>
    <mergeCell ref="G29:J29"/>
    <mergeCell ref="K29:L29"/>
    <mergeCell ref="A30:C30"/>
    <mergeCell ref="D30:F30"/>
    <mergeCell ref="G30:J30"/>
    <mergeCell ref="K30:L30"/>
    <mergeCell ref="K31:L31"/>
    <mergeCell ref="H34:H35"/>
    <mergeCell ref="A36:A37"/>
    <mergeCell ref="B36:C37"/>
    <mergeCell ref="G36:G37"/>
    <mergeCell ref="H36:H37"/>
    <mergeCell ref="A34:A35"/>
    <mergeCell ref="B34:C35"/>
    <mergeCell ref="D34:D35"/>
    <mergeCell ref="E34:E35"/>
    <mergeCell ref="F34:F35"/>
    <mergeCell ref="G34:G35"/>
    <mergeCell ref="D49:I49"/>
    <mergeCell ref="J36:J37"/>
    <mergeCell ref="K36:K37"/>
    <mergeCell ref="L36:L37"/>
    <mergeCell ref="A40:C40"/>
    <mergeCell ref="A43:C43"/>
    <mergeCell ref="A45:C45"/>
    <mergeCell ref="H45:L45"/>
    <mergeCell ref="I36:I37"/>
    <mergeCell ref="A46:C46"/>
    <mergeCell ref="H46:L46"/>
    <mergeCell ref="D48:I48"/>
    <mergeCell ref="L38:L39"/>
    <mergeCell ref="B38:C39"/>
    <mergeCell ref="A38:A39"/>
    <mergeCell ref="I38:I39"/>
  </mergeCells>
  <pageMargins left="0.5" right="0.25" top="0.25" bottom="0.25" header="0" footer="0"/>
  <pageSetup paperSize="5" scale="8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87"/>
  <sheetViews>
    <sheetView topLeftCell="A17" zoomScaleNormal="100" workbookViewId="0">
      <selection activeCell="B36" sqref="B36:C36"/>
    </sheetView>
  </sheetViews>
  <sheetFormatPr defaultColWidth="14.42578125" defaultRowHeight="15" customHeight="1" x14ac:dyDescent="0.25"/>
  <cols>
    <col min="1" max="1" width="10" style="257" customWidth="1"/>
    <col min="2" max="2" width="8.85546875" style="257" customWidth="1"/>
    <col min="3" max="3" width="16.7109375" style="257" customWidth="1"/>
    <col min="4" max="4" width="8" style="257" customWidth="1"/>
    <col min="5" max="5" width="16.85546875" style="257" customWidth="1"/>
    <col min="6" max="6" width="9.7109375" style="257" customWidth="1"/>
    <col min="7" max="7" width="10" style="257" customWidth="1"/>
    <col min="8" max="8" width="9.42578125" style="86" customWidth="1"/>
    <col min="9" max="12" width="5.85546875" style="257" customWidth="1"/>
    <col min="13" max="26" width="8.85546875" style="257" customWidth="1"/>
    <col min="27" max="16384" width="14.42578125" style="257"/>
  </cols>
  <sheetData>
    <row r="1" spans="1:12" ht="14.25" customHeight="1" x14ac:dyDescent="0.25">
      <c r="A1" s="265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259"/>
      <c r="B8" s="259"/>
      <c r="C8" s="259"/>
      <c r="D8" s="259"/>
      <c r="E8" s="4"/>
      <c r="F8" s="259"/>
      <c r="G8" s="259"/>
      <c r="H8" s="260"/>
      <c r="I8" s="259"/>
      <c r="J8" s="259"/>
      <c r="K8" s="259"/>
      <c r="L8" s="259"/>
    </row>
    <row r="9" spans="1:12" ht="20.25" customHeight="1" x14ac:dyDescent="0.3">
      <c r="A9" s="496" t="s">
        <v>189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thickBot="1" x14ac:dyDescent="0.3">
      <c r="A18" s="107"/>
      <c r="B18" s="728"/>
      <c r="C18" s="728"/>
      <c r="D18" s="68"/>
      <c r="E18" s="69"/>
      <c r="F18" s="108"/>
      <c r="G18" s="267"/>
      <c r="H18" s="110"/>
      <c r="I18" s="267"/>
      <c r="J18" s="267"/>
      <c r="K18" s="267"/>
      <c r="L18" s="106"/>
    </row>
    <row r="19" spans="1:12" ht="14.25" customHeight="1" x14ac:dyDescent="0.25">
      <c r="A19" s="162"/>
      <c r="B19" s="438"/>
      <c r="C19" s="439"/>
      <c r="D19" s="258"/>
      <c r="E19" s="134" t="s">
        <v>29</v>
      </c>
      <c r="F19" s="141"/>
      <c r="G19" s="141"/>
      <c r="H19" s="182"/>
      <c r="I19" s="143"/>
      <c r="J19" s="143"/>
      <c r="K19" s="12">
        <f>SUM(K18:K18)</f>
        <v>0</v>
      </c>
      <c r="L19" s="164">
        <f>SUM(L18:L18)</f>
        <v>0</v>
      </c>
    </row>
    <row r="20" spans="1:12" ht="14.25" customHeight="1" thickBot="1" x14ac:dyDescent="0.3">
      <c r="A20" s="151" t="s">
        <v>30</v>
      </c>
      <c r="B20" s="165"/>
      <c r="C20" s="258"/>
      <c r="D20" s="258"/>
      <c r="E20" s="138"/>
      <c r="F20" s="258"/>
      <c r="G20" s="258"/>
      <c r="H20" s="183"/>
      <c r="I20" s="258"/>
      <c r="J20" s="258"/>
      <c r="K20" s="258"/>
      <c r="L20" s="166"/>
    </row>
    <row r="21" spans="1:12" ht="14.25" customHeight="1" thickBot="1" x14ac:dyDescent="0.3">
      <c r="A21" s="736" t="s">
        <v>13</v>
      </c>
      <c r="B21" s="737" t="s">
        <v>14</v>
      </c>
      <c r="C21" s="738"/>
      <c r="D21" s="739" t="s">
        <v>15</v>
      </c>
      <c r="E21" s="737" t="s">
        <v>16</v>
      </c>
      <c r="F21" s="740"/>
      <c r="G21" s="738"/>
      <c r="H21" s="741" t="s">
        <v>19</v>
      </c>
      <c r="I21" s="268" t="s">
        <v>20</v>
      </c>
      <c r="J21" s="268" t="s">
        <v>20</v>
      </c>
      <c r="K21" s="268" t="s">
        <v>21</v>
      </c>
      <c r="L21" s="168" t="s">
        <v>22</v>
      </c>
    </row>
    <row r="22" spans="1:12" ht="14.25" customHeight="1" x14ac:dyDescent="0.25">
      <c r="A22" s="525"/>
      <c r="B22" s="482"/>
      <c r="C22" s="472"/>
      <c r="D22" s="529"/>
      <c r="E22" s="482"/>
      <c r="F22" s="437"/>
      <c r="G22" s="472"/>
      <c r="H22" s="531"/>
      <c r="I22" s="157" t="s">
        <v>23</v>
      </c>
      <c r="J22" s="157" t="s">
        <v>24</v>
      </c>
      <c r="K22" s="157" t="s">
        <v>25</v>
      </c>
      <c r="L22" s="158" t="s">
        <v>26</v>
      </c>
    </row>
    <row r="23" spans="1:12" ht="14.25" customHeight="1" thickBot="1" x14ac:dyDescent="0.3">
      <c r="A23" s="636"/>
      <c r="B23" s="642"/>
      <c r="C23" s="643"/>
      <c r="D23" s="62"/>
      <c r="E23" s="644"/>
      <c r="F23" s="501"/>
      <c r="G23" s="645"/>
      <c r="H23" s="184"/>
      <c r="I23" s="62"/>
      <c r="J23" s="62"/>
      <c r="K23" s="62"/>
      <c r="L23" s="46"/>
    </row>
    <row r="24" spans="1:12" ht="14.25" customHeight="1" x14ac:dyDescent="0.25">
      <c r="D24" s="10" t="s">
        <v>31</v>
      </c>
      <c r="E24" s="17"/>
      <c r="F24" s="11"/>
      <c r="G24" s="11"/>
      <c r="H24" s="173"/>
      <c r="I24" s="11"/>
      <c r="K24" s="32">
        <f t="shared" ref="K24:L24" si="0">SUM(K23)</f>
        <v>0</v>
      </c>
      <c r="L24" s="32">
        <f t="shared" si="0"/>
        <v>0</v>
      </c>
    </row>
    <row r="25" spans="1:12" ht="14.25" customHeight="1" thickBot="1" x14ac:dyDescent="0.3">
      <c r="A25" s="7" t="s">
        <v>32</v>
      </c>
      <c r="B25" s="18"/>
      <c r="C25" s="19"/>
      <c r="D25" s="19"/>
      <c r="E25" s="2"/>
      <c r="F25" s="19"/>
      <c r="G25" s="19"/>
      <c r="H25" s="175"/>
      <c r="I25" s="19"/>
      <c r="J25" s="19"/>
      <c r="K25" s="19"/>
      <c r="L25" s="19"/>
    </row>
    <row r="26" spans="1:12" ht="14.25" customHeight="1" x14ac:dyDescent="0.25">
      <c r="A26" s="742" t="s">
        <v>15</v>
      </c>
      <c r="B26" s="503"/>
      <c r="C26" s="527"/>
      <c r="D26" s="526" t="s">
        <v>16</v>
      </c>
      <c r="E26" s="503"/>
      <c r="F26" s="527"/>
      <c r="G26" s="526" t="s">
        <v>33</v>
      </c>
      <c r="H26" s="503"/>
      <c r="I26" s="503"/>
      <c r="J26" s="527"/>
      <c r="K26" s="526" t="s">
        <v>34</v>
      </c>
      <c r="L26" s="734"/>
    </row>
    <row r="27" spans="1:12" ht="14.25" customHeight="1" x14ac:dyDescent="0.25">
      <c r="A27" s="743"/>
      <c r="B27" s="437"/>
      <c r="C27" s="472"/>
      <c r="D27" s="482"/>
      <c r="E27" s="437"/>
      <c r="F27" s="472"/>
      <c r="G27" s="482"/>
      <c r="H27" s="437"/>
      <c r="I27" s="437"/>
      <c r="J27" s="472"/>
      <c r="K27" s="482"/>
      <c r="L27" s="735"/>
    </row>
    <row r="28" spans="1:12" ht="14.25" customHeight="1" x14ac:dyDescent="0.25">
      <c r="A28" s="756"/>
      <c r="B28" s="453"/>
      <c r="C28" s="477"/>
      <c r="D28" s="539"/>
      <c r="E28" s="453"/>
      <c r="F28" s="477"/>
      <c r="G28" s="539"/>
      <c r="H28" s="453"/>
      <c r="I28" s="453"/>
      <c r="J28" s="477"/>
      <c r="K28" s="478"/>
      <c r="L28" s="757"/>
    </row>
    <row r="29" spans="1:12" ht="14.25" customHeight="1" x14ac:dyDescent="0.25">
      <c r="A29" s="756"/>
      <c r="B29" s="453"/>
      <c r="C29" s="477"/>
      <c r="D29" s="539"/>
      <c r="E29" s="453"/>
      <c r="F29" s="477"/>
      <c r="G29" s="539"/>
      <c r="H29" s="453"/>
      <c r="I29" s="453"/>
      <c r="J29" s="477"/>
      <c r="K29" s="478"/>
      <c r="L29" s="757"/>
    </row>
    <row r="30" spans="1:12" ht="13.5" customHeight="1" thickBot="1" x14ac:dyDescent="0.3">
      <c r="A30" s="730"/>
      <c r="B30" s="642"/>
      <c r="C30" s="643"/>
      <c r="D30" s="731"/>
      <c r="E30" s="642"/>
      <c r="F30" s="643"/>
      <c r="G30" s="731"/>
      <c r="H30" s="642"/>
      <c r="I30" s="642"/>
      <c r="J30" s="643"/>
      <c r="K30" s="732"/>
      <c r="L30" s="733"/>
    </row>
    <row r="31" spans="1:12" ht="14.25" customHeight="1" x14ac:dyDescent="0.25">
      <c r="A31" s="264"/>
      <c r="B31" s="264"/>
      <c r="C31" s="264"/>
      <c r="D31" s="10" t="s">
        <v>35</v>
      </c>
      <c r="E31" s="17"/>
      <c r="F31" s="11"/>
      <c r="G31" s="11"/>
      <c r="H31" s="173"/>
      <c r="I31" s="11"/>
      <c r="J31" s="20"/>
      <c r="K31" s="451"/>
      <c r="L31" s="437"/>
    </row>
    <row r="32" spans="1:12" ht="14.25" customHeight="1" x14ac:dyDescent="0.25">
      <c r="A32" s="264"/>
      <c r="B32" s="264"/>
      <c r="C32" s="264"/>
      <c r="D32" s="10" t="s">
        <v>36</v>
      </c>
      <c r="E32" s="17"/>
      <c r="F32" s="11"/>
      <c r="G32" s="11"/>
      <c r="H32" s="173"/>
      <c r="I32" s="11"/>
      <c r="K32" s="452">
        <f>L19+L24+K31</f>
        <v>0</v>
      </c>
      <c r="L32" s="453"/>
    </row>
    <row r="33" spans="1:12" ht="14.25" customHeight="1" thickBot="1" x14ac:dyDescent="0.3">
      <c r="A33" s="7" t="s">
        <v>37</v>
      </c>
      <c r="B33" s="19"/>
      <c r="D33" s="21"/>
      <c r="E33" s="22"/>
      <c r="F33" s="21"/>
      <c r="G33" s="21"/>
      <c r="H33" s="176"/>
      <c r="I33" s="21"/>
      <c r="J33" s="21"/>
      <c r="K33" s="23"/>
      <c r="L33" s="24"/>
    </row>
    <row r="34" spans="1:12" ht="14.25" customHeight="1" x14ac:dyDescent="0.25">
      <c r="A34" s="485" t="s">
        <v>13</v>
      </c>
      <c r="B34" s="487" t="s">
        <v>14</v>
      </c>
      <c r="C34" s="760"/>
      <c r="D34" s="487" t="s">
        <v>15</v>
      </c>
      <c r="E34" s="487" t="s">
        <v>16</v>
      </c>
      <c r="F34" s="448" t="s">
        <v>17</v>
      </c>
      <c r="G34" s="448" t="s">
        <v>18</v>
      </c>
      <c r="H34" s="441" t="s">
        <v>19</v>
      </c>
      <c r="I34" s="74" t="s">
        <v>20</v>
      </c>
      <c r="J34" s="74" t="s">
        <v>20</v>
      </c>
      <c r="K34" s="74" t="s">
        <v>21</v>
      </c>
      <c r="L34" s="75" t="s">
        <v>22</v>
      </c>
    </row>
    <row r="35" spans="1:12" ht="14.25" customHeight="1" thickBot="1" x14ac:dyDescent="0.3">
      <c r="A35" s="759"/>
      <c r="B35" s="577"/>
      <c r="C35" s="577"/>
      <c r="D35" s="577"/>
      <c r="E35" s="577"/>
      <c r="F35" s="577"/>
      <c r="G35" s="577"/>
      <c r="H35" s="650"/>
      <c r="I35" s="76" t="s">
        <v>23</v>
      </c>
      <c r="J35" s="76" t="s">
        <v>24</v>
      </c>
      <c r="K35" s="76" t="s">
        <v>25</v>
      </c>
      <c r="L35" s="77" t="s">
        <v>26</v>
      </c>
    </row>
    <row r="36" spans="1:12" ht="14.25" customHeight="1" x14ac:dyDescent="0.25">
      <c r="A36" s="314" t="s">
        <v>124</v>
      </c>
      <c r="B36" s="758" t="s">
        <v>191</v>
      </c>
      <c r="C36" s="758"/>
      <c r="D36" s="315" t="s">
        <v>97</v>
      </c>
      <c r="E36" s="316" t="s">
        <v>190</v>
      </c>
      <c r="F36" s="317" t="s">
        <v>110</v>
      </c>
      <c r="G36" s="318" t="s">
        <v>197</v>
      </c>
      <c r="H36" s="317">
        <v>40</v>
      </c>
      <c r="I36" s="317">
        <v>4</v>
      </c>
      <c r="J36" s="317"/>
      <c r="K36" s="317">
        <v>4</v>
      </c>
      <c r="L36" s="319">
        <v>4</v>
      </c>
    </row>
    <row r="37" spans="1:12" ht="14.25" customHeight="1" thickBot="1" x14ac:dyDescent="0.3">
      <c r="A37" s="308" t="s">
        <v>121</v>
      </c>
      <c r="B37" s="622" t="s">
        <v>191</v>
      </c>
      <c r="C37" s="622"/>
      <c r="D37" s="273" t="s">
        <v>95</v>
      </c>
      <c r="E37" s="125" t="s">
        <v>190</v>
      </c>
      <c r="F37" s="306" t="s">
        <v>102</v>
      </c>
      <c r="G37" s="313" t="s">
        <v>198</v>
      </c>
      <c r="H37" s="306">
        <v>40</v>
      </c>
      <c r="I37" s="306">
        <v>4</v>
      </c>
      <c r="J37" s="306"/>
      <c r="K37" s="306">
        <v>4</v>
      </c>
      <c r="L37" s="307">
        <v>4</v>
      </c>
    </row>
    <row r="38" spans="1:12" ht="14.25" customHeight="1" x14ac:dyDescent="0.25">
      <c r="A38" s="523"/>
      <c r="B38" s="431"/>
      <c r="C38" s="431"/>
      <c r="D38" s="4" t="s">
        <v>39</v>
      </c>
      <c r="E38" s="22"/>
      <c r="F38" s="21"/>
      <c r="G38" s="21"/>
      <c r="H38" s="176"/>
      <c r="I38" s="21"/>
      <c r="J38" s="21"/>
      <c r="K38" s="266">
        <v>8</v>
      </c>
      <c r="L38" s="266">
        <v>8</v>
      </c>
    </row>
    <row r="39" spans="1:12" ht="14.25" customHeight="1" x14ac:dyDescent="0.25">
      <c r="A39" s="133"/>
      <c r="B39" s="133"/>
      <c r="C39" s="133"/>
      <c r="D39" s="134" t="s">
        <v>40</v>
      </c>
      <c r="E39" s="135"/>
      <c r="F39" s="136"/>
      <c r="G39" s="136"/>
      <c r="H39" s="185"/>
      <c r="I39" s="136"/>
      <c r="J39" s="136"/>
      <c r="K39" s="266">
        <f>SUM(K19,K24,K38)</f>
        <v>8</v>
      </c>
      <c r="L39" s="266">
        <f>(L19+L24+K31+L38)</f>
        <v>8</v>
      </c>
    </row>
    <row r="40" spans="1:12" x14ac:dyDescent="0.25">
      <c r="A40" s="133"/>
      <c r="B40" s="133"/>
      <c r="C40" s="133"/>
      <c r="D40" s="134"/>
      <c r="E40" s="135"/>
      <c r="F40" s="136"/>
      <c r="G40" s="136"/>
      <c r="H40" s="185"/>
      <c r="I40" s="136"/>
      <c r="J40" s="136"/>
      <c r="K40" s="137"/>
      <c r="L40" s="137"/>
    </row>
    <row r="41" spans="1:12" s="270" customFormat="1" ht="16.5" x14ac:dyDescent="0.3">
      <c r="A41" s="440" t="s">
        <v>41</v>
      </c>
      <c r="B41" s="431"/>
      <c r="C41" s="431"/>
      <c r="D41" s="27"/>
      <c r="E41" s="27"/>
      <c r="F41" s="27"/>
      <c r="G41" s="27"/>
      <c r="H41" s="178" t="s">
        <v>42</v>
      </c>
      <c r="I41" s="6"/>
      <c r="J41" s="6"/>
      <c r="K41" s="6"/>
      <c r="L41" s="5"/>
    </row>
    <row r="42" spans="1:12" s="270" customFormat="1" x14ac:dyDescent="0.25">
      <c r="A42" s="28"/>
      <c r="B42" s="28"/>
      <c r="C42" s="28"/>
      <c r="D42" s="20"/>
      <c r="E42" s="2"/>
      <c r="F42" s="20"/>
      <c r="G42" s="20"/>
      <c r="H42" s="179"/>
      <c r="I42" s="28"/>
      <c r="J42" s="28"/>
      <c r="K42" s="28"/>
      <c r="L42" s="28"/>
    </row>
    <row r="43" spans="1:12" s="270" customFormat="1" x14ac:dyDescent="0.25">
      <c r="A43" s="432" t="s">
        <v>43</v>
      </c>
      <c r="B43" s="431"/>
      <c r="C43" s="431"/>
      <c r="D43" s="27"/>
      <c r="E43" s="27"/>
      <c r="F43" s="27"/>
      <c r="G43" s="27"/>
      <c r="H43" s="433" t="s">
        <v>44</v>
      </c>
      <c r="I43" s="434"/>
      <c r="J43" s="434"/>
      <c r="K43" s="434"/>
      <c r="L43" s="434"/>
    </row>
    <row r="44" spans="1:12" s="270" customFormat="1" x14ac:dyDescent="0.25">
      <c r="A44" s="435" t="s">
        <v>45</v>
      </c>
      <c r="B44" s="431"/>
      <c r="C44" s="431"/>
      <c r="D44" s="27"/>
      <c r="E44" s="27"/>
      <c r="F44" s="27"/>
      <c r="G44" s="27"/>
      <c r="H44" s="435" t="s">
        <v>46</v>
      </c>
      <c r="I44" s="431"/>
      <c r="J44" s="431"/>
      <c r="K44" s="431"/>
      <c r="L44" s="431"/>
    </row>
    <row r="45" spans="1:12" s="270" customFormat="1" x14ac:dyDescent="0.25">
      <c r="A45" s="20"/>
      <c r="B45" s="20"/>
      <c r="C45" s="20"/>
      <c r="D45" s="20"/>
      <c r="E45" s="2"/>
      <c r="F45" s="20"/>
      <c r="G45" s="20"/>
      <c r="H45" s="180"/>
      <c r="I45" s="20"/>
      <c r="J45" s="20"/>
      <c r="K45" s="20"/>
      <c r="L45" s="20"/>
    </row>
    <row r="46" spans="1:12" s="270" customFormat="1" x14ac:dyDescent="0.25">
      <c r="A46" s="20"/>
      <c r="B46" s="20"/>
      <c r="D46" s="436" t="s">
        <v>192</v>
      </c>
      <c r="E46" s="437"/>
      <c r="F46" s="437"/>
      <c r="G46" s="437"/>
      <c r="H46" s="437"/>
      <c r="I46" s="437"/>
      <c r="J46" s="20"/>
      <c r="K46" s="20"/>
      <c r="L46" s="20"/>
    </row>
    <row r="47" spans="1:12" s="270" customFormat="1" x14ac:dyDescent="0.25">
      <c r="C47" s="20"/>
      <c r="D47" s="433" t="s">
        <v>47</v>
      </c>
      <c r="E47" s="434"/>
      <c r="F47" s="434"/>
      <c r="G47" s="434"/>
      <c r="H47" s="434"/>
      <c r="I47" s="434"/>
      <c r="J47" s="20"/>
      <c r="K47" s="20"/>
      <c r="L47" s="20"/>
    </row>
    <row r="48" spans="1:12" s="270" customFormat="1" x14ac:dyDescent="0.25">
      <c r="E48" s="2"/>
      <c r="H48" s="86"/>
    </row>
    <row r="49" spans="5:8" s="270" customFormat="1" x14ac:dyDescent="0.25">
      <c r="E49" s="2"/>
      <c r="H49" s="86"/>
    </row>
    <row r="50" spans="5:8" ht="14.25" customHeight="1" x14ac:dyDescent="0.25">
      <c r="E50" s="2"/>
    </row>
    <row r="51" spans="5:8" ht="14.25" customHeight="1" x14ac:dyDescent="0.25">
      <c r="E51" s="2"/>
    </row>
    <row r="52" spans="5:8" ht="14.25" customHeight="1" x14ac:dyDescent="0.25">
      <c r="E52" s="2"/>
    </row>
    <row r="53" spans="5:8" ht="14.25" customHeight="1" x14ac:dyDescent="0.25">
      <c r="E53" s="2"/>
    </row>
    <row r="54" spans="5:8" ht="14.25" customHeight="1" x14ac:dyDescent="0.25">
      <c r="E54" s="2"/>
    </row>
    <row r="55" spans="5:8" ht="14.25" customHeight="1" x14ac:dyDescent="0.25">
      <c r="E55" s="2"/>
    </row>
    <row r="56" spans="5:8" ht="14.25" customHeight="1" x14ac:dyDescent="0.25">
      <c r="E56" s="2"/>
    </row>
    <row r="57" spans="5:8" ht="14.25" customHeight="1" x14ac:dyDescent="0.25">
      <c r="E57" s="2"/>
    </row>
    <row r="58" spans="5:8" ht="14.25" customHeight="1" x14ac:dyDescent="0.25">
      <c r="E58" s="2"/>
    </row>
    <row r="59" spans="5:8" ht="14.25" customHeight="1" x14ac:dyDescent="0.25">
      <c r="E59" s="2"/>
    </row>
    <row r="60" spans="5:8" ht="14.25" customHeight="1" x14ac:dyDescent="0.25">
      <c r="E60" s="2"/>
    </row>
    <row r="61" spans="5:8" ht="14.25" customHeight="1" x14ac:dyDescent="0.25">
      <c r="E61" s="2"/>
    </row>
    <row r="62" spans="5:8" ht="14.25" customHeight="1" x14ac:dyDescent="0.25">
      <c r="E62" s="2"/>
    </row>
    <row r="63" spans="5:8" ht="14.25" customHeight="1" x14ac:dyDescent="0.25">
      <c r="E63" s="2"/>
    </row>
    <row r="64" spans="5:8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4.25" customHeight="1" x14ac:dyDescent="0.25">
      <c r="E984" s="2"/>
    </row>
    <row r="985" spans="5:5" ht="14.25" customHeight="1" x14ac:dyDescent="0.25">
      <c r="E985" s="2"/>
    </row>
    <row r="986" spans="5:5" ht="14.25" customHeight="1" x14ac:dyDescent="0.25">
      <c r="E986" s="2"/>
    </row>
    <row r="987" spans="5:5" ht="14.25" customHeight="1" x14ac:dyDescent="0.25">
      <c r="E987" s="2"/>
    </row>
  </sheetData>
  <mergeCells count="59">
    <mergeCell ref="D46:I46"/>
    <mergeCell ref="A38:C38"/>
    <mergeCell ref="A41:C41"/>
    <mergeCell ref="A43:C43"/>
    <mergeCell ref="H43:L43"/>
    <mergeCell ref="A44:C44"/>
    <mergeCell ref="H44:L44"/>
    <mergeCell ref="B37:C37"/>
    <mergeCell ref="H34:H35"/>
    <mergeCell ref="B36:C36"/>
    <mergeCell ref="A34:A35"/>
    <mergeCell ref="B34:C35"/>
    <mergeCell ref="D34:D35"/>
    <mergeCell ref="E34:E35"/>
    <mergeCell ref="F34:F35"/>
    <mergeCell ref="G34:G35"/>
    <mergeCell ref="K32:L32"/>
    <mergeCell ref="K26:L27"/>
    <mergeCell ref="A28:C28"/>
    <mergeCell ref="D28:F28"/>
    <mergeCell ref="G28:J28"/>
    <mergeCell ref="K28:L28"/>
    <mergeCell ref="A29:C29"/>
    <mergeCell ref="D29:F29"/>
    <mergeCell ref="G29:J29"/>
    <mergeCell ref="K29:L29"/>
    <mergeCell ref="A30:C30"/>
    <mergeCell ref="D30:F30"/>
    <mergeCell ref="G30:J30"/>
    <mergeCell ref="K30:L30"/>
    <mergeCell ref="K31:L31"/>
    <mergeCell ref="H21:H22"/>
    <mergeCell ref="A23:C23"/>
    <mergeCell ref="E23:G23"/>
    <mergeCell ref="A26:C27"/>
    <mergeCell ref="D26:F27"/>
    <mergeCell ref="G26:J27"/>
    <mergeCell ref="E21:G22"/>
    <mergeCell ref="B18:C18"/>
    <mergeCell ref="B19:C19"/>
    <mergeCell ref="A21:A22"/>
    <mergeCell ref="B21:C22"/>
    <mergeCell ref="D21:D22"/>
    <mergeCell ref="A7:L7"/>
    <mergeCell ref="D47:I47"/>
    <mergeCell ref="A2:L2"/>
    <mergeCell ref="A3:L3"/>
    <mergeCell ref="A4:L4"/>
    <mergeCell ref="A5:L5"/>
    <mergeCell ref="A6:L6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</mergeCells>
  <pageMargins left="0.5" right="0.25" top="0.25" bottom="0.25" header="0" footer="0"/>
  <pageSetup paperSize="5" scale="8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987"/>
  <sheetViews>
    <sheetView topLeftCell="A28" zoomScaleNormal="100" workbookViewId="0">
      <selection activeCell="B36" sqref="B36:C37"/>
    </sheetView>
  </sheetViews>
  <sheetFormatPr defaultColWidth="14.42578125" defaultRowHeight="15" customHeight="1" x14ac:dyDescent="0.25"/>
  <cols>
    <col min="1" max="1" width="10" style="385" customWidth="1"/>
    <col min="2" max="2" width="8.85546875" style="385" customWidth="1"/>
    <col min="3" max="3" width="16.7109375" style="385" customWidth="1"/>
    <col min="4" max="4" width="8" style="385" customWidth="1"/>
    <col min="5" max="5" width="16.85546875" style="385" customWidth="1"/>
    <col min="6" max="6" width="9.7109375" style="385" customWidth="1"/>
    <col min="7" max="7" width="10" style="385" customWidth="1"/>
    <col min="8" max="8" width="9.42578125" style="86" customWidth="1"/>
    <col min="9" max="12" width="5.85546875" style="385" customWidth="1"/>
    <col min="13" max="26" width="8.85546875" style="385" customWidth="1"/>
    <col min="27" max="16384" width="14.42578125" style="385"/>
  </cols>
  <sheetData>
    <row r="1" spans="1:12" ht="14.25" customHeight="1" x14ac:dyDescent="0.25">
      <c r="A1" s="387" t="s">
        <v>0</v>
      </c>
      <c r="E1" s="2"/>
    </row>
    <row r="2" spans="1:12" ht="14.25" customHeight="1" x14ac:dyDescent="0.25">
      <c r="A2" s="498" t="s">
        <v>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 x14ac:dyDescent="0.25">
      <c r="A3" s="499" t="s">
        <v>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4.25" customHeight="1" x14ac:dyDescent="0.25">
      <c r="A4" s="499" t="s">
        <v>3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 ht="14.25" customHeight="1" thickBot="1" x14ac:dyDescent="0.3">
      <c r="A5" s="500" t="s">
        <v>4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</row>
    <row r="6" spans="1:12" ht="14.25" customHeight="1" x14ac:dyDescent="0.25">
      <c r="A6" s="502" t="s">
        <v>5</v>
      </c>
      <c r="B6" s="503"/>
      <c r="C6" s="503"/>
      <c r="D6" s="503"/>
      <c r="E6" s="503"/>
      <c r="F6" s="503"/>
      <c r="G6" s="503"/>
      <c r="H6" s="503"/>
      <c r="I6" s="503"/>
      <c r="J6" s="503"/>
      <c r="K6" s="503"/>
      <c r="L6" s="503"/>
    </row>
    <row r="7" spans="1:12" ht="14.25" customHeight="1" x14ac:dyDescent="0.25">
      <c r="A7" s="435" t="s">
        <v>77</v>
      </c>
      <c r="B7" s="431"/>
      <c r="C7" s="431"/>
      <c r="D7" s="431"/>
      <c r="E7" s="431"/>
      <c r="F7" s="431"/>
      <c r="G7" s="431"/>
      <c r="H7" s="431"/>
      <c r="I7" s="431"/>
      <c r="J7" s="431"/>
      <c r="K7" s="431"/>
      <c r="L7" s="431"/>
    </row>
    <row r="8" spans="1:12" ht="9.75" customHeight="1" x14ac:dyDescent="0.25">
      <c r="A8" s="384"/>
      <c r="B8" s="384"/>
      <c r="C8" s="384"/>
      <c r="D8" s="384"/>
      <c r="E8" s="4"/>
      <c r="F8" s="384"/>
      <c r="G8" s="384"/>
      <c r="H8" s="388"/>
      <c r="I8" s="384"/>
      <c r="J8" s="384"/>
      <c r="K8" s="384"/>
      <c r="L8" s="384"/>
    </row>
    <row r="9" spans="1:12" ht="20.25" customHeight="1" x14ac:dyDescent="0.3">
      <c r="A9" s="496" t="s">
        <v>281</v>
      </c>
      <c r="B9" s="437"/>
      <c r="C9" s="437"/>
      <c r="D9" s="437"/>
      <c r="E9" s="437"/>
      <c r="F9" s="437"/>
      <c r="G9" s="437"/>
      <c r="H9" s="437"/>
      <c r="I9" s="437"/>
      <c r="J9" s="437"/>
      <c r="K9" s="437"/>
      <c r="L9" s="437"/>
    </row>
    <row r="10" spans="1:12" ht="14.25" customHeight="1" x14ac:dyDescent="0.3">
      <c r="A10" s="4" t="s">
        <v>6</v>
      </c>
      <c r="B10" s="5"/>
      <c r="C10" s="5"/>
      <c r="D10" s="5"/>
      <c r="E10" s="6"/>
      <c r="F10" s="5"/>
      <c r="G10" s="5"/>
      <c r="H10" s="172"/>
      <c r="I10" s="5"/>
      <c r="J10" s="5"/>
      <c r="K10" s="5"/>
    </row>
    <row r="11" spans="1:12" ht="14.25" customHeight="1" x14ac:dyDescent="0.3">
      <c r="A11" s="5"/>
      <c r="B11" s="5"/>
      <c r="C11" s="7" t="s">
        <v>7</v>
      </c>
      <c r="D11" s="5"/>
      <c r="E11" s="6"/>
      <c r="F11" s="5"/>
      <c r="G11" s="5"/>
      <c r="H11" s="172"/>
      <c r="I11" s="5"/>
      <c r="J11" s="7" t="s">
        <v>8</v>
      </c>
      <c r="K11" s="5"/>
    </row>
    <row r="12" spans="1:12" ht="3" customHeight="1" x14ac:dyDescent="0.3">
      <c r="A12" s="5"/>
      <c r="B12" s="5"/>
      <c r="C12" s="5"/>
      <c r="D12" s="5"/>
      <c r="E12" s="6"/>
      <c r="F12" s="5"/>
      <c r="G12" s="5"/>
      <c r="H12" s="172"/>
      <c r="I12" s="5"/>
      <c r="J12" s="5"/>
      <c r="K12" s="5"/>
    </row>
    <row r="13" spans="1:12" ht="14.25" customHeight="1" x14ac:dyDescent="0.3">
      <c r="A13" s="5"/>
      <c r="B13" s="5"/>
      <c r="C13" s="7" t="s">
        <v>9</v>
      </c>
      <c r="D13" s="5"/>
      <c r="E13" s="6"/>
      <c r="F13" s="5"/>
      <c r="G13" s="5"/>
      <c r="H13" s="172"/>
      <c r="I13" s="5"/>
      <c r="J13" s="7" t="s">
        <v>10</v>
      </c>
      <c r="K13" s="5"/>
    </row>
    <row r="14" spans="1:12" ht="19.5" customHeight="1" x14ac:dyDescent="0.25">
      <c r="A14" s="497" t="s">
        <v>11</v>
      </c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</row>
    <row r="15" spans="1:12" ht="14.25" customHeight="1" thickBot="1" x14ac:dyDescent="0.3">
      <c r="A15" s="7" t="s">
        <v>12</v>
      </c>
      <c r="B15" s="8"/>
      <c r="E15" s="2"/>
    </row>
    <row r="16" spans="1:12" ht="14.25" customHeight="1" x14ac:dyDescent="0.25">
      <c r="A16" s="567" t="s">
        <v>13</v>
      </c>
      <c r="B16" s="480" t="s">
        <v>14</v>
      </c>
      <c r="C16" s="494"/>
      <c r="D16" s="571" t="s">
        <v>15</v>
      </c>
      <c r="E16" s="571" t="s">
        <v>16</v>
      </c>
      <c r="F16" s="593" t="s">
        <v>17</v>
      </c>
      <c r="G16" s="593" t="s">
        <v>18</v>
      </c>
      <c r="H16" s="574" t="s">
        <v>19</v>
      </c>
      <c r="I16" s="40" t="s">
        <v>20</v>
      </c>
      <c r="J16" s="40" t="s">
        <v>20</v>
      </c>
      <c r="K16" s="40" t="s">
        <v>21</v>
      </c>
      <c r="L16" s="41" t="s">
        <v>22</v>
      </c>
    </row>
    <row r="17" spans="1:12" ht="14.25" customHeight="1" thickBot="1" x14ac:dyDescent="0.3">
      <c r="A17" s="591"/>
      <c r="B17" s="521"/>
      <c r="C17" s="459"/>
      <c r="D17" s="592"/>
      <c r="E17" s="592"/>
      <c r="F17" s="592"/>
      <c r="G17" s="592"/>
      <c r="H17" s="594"/>
      <c r="I17" s="42" t="s">
        <v>23</v>
      </c>
      <c r="J17" s="42" t="s">
        <v>24</v>
      </c>
      <c r="K17" s="42" t="s">
        <v>25</v>
      </c>
      <c r="L17" s="43" t="s">
        <v>26</v>
      </c>
    </row>
    <row r="18" spans="1:12" ht="14.25" customHeight="1" thickBot="1" x14ac:dyDescent="0.3">
      <c r="A18" s="107"/>
      <c r="B18" s="728"/>
      <c r="C18" s="728"/>
      <c r="D18" s="68"/>
      <c r="E18" s="69"/>
      <c r="F18" s="108"/>
      <c r="G18" s="400"/>
      <c r="H18" s="110"/>
      <c r="I18" s="400"/>
      <c r="J18" s="400"/>
      <c r="K18" s="400"/>
      <c r="L18" s="106"/>
    </row>
    <row r="19" spans="1:12" ht="14.25" customHeight="1" x14ac:dyDescent="0.25">
      <c r="A19" s="162"/>
      <c r="B19" s="438"/>
      <c r="C19" s="439"/>
      <c r="D19" s="386"/>
      <c r="E19" s="134" t="s">
        <v>29</v>
      </c>
      <c r="F19" s="141"/>
      <c r="G19" s="141"/>
      <c r="H19" s="182"/>
      <c r="I19" s="143"/>
      <c r="J19" s="143"/>
      <c r="K19" s="12">
        <f>SUM(K18:K18)</f>
        <v>0</v>
      </c>
      <c r="L19" s="164">
        <f>SUM(L18:L18)</f>
        <v>0</v>
      </c>
    </row>
    <row r="20" spans="1:12" ht="14.25" customHeight="1" thickBot="1" x14ac:dyDescent="0.3">
      <c r="A20" s="151" t="s">
        <v>30</v>
      </c>
      <c r="B20" s="165"/>
      <c r="C20" s="386"/>
      <c r="D20" s="386"/>
      <c r="E20" s="138"/>
      <c r="F20" s="386"/>
      <c r="G20" s="386"/>
      <c r="H20" s="183"/>
      <c r="I20" s="386"/>
      <c r="J20" s="386"/>
      <c r="K20" s="386"/>
      <c r="L20" s="166"/>
    </row>
    <row r="21" spans="1:12" ht="14.25" customHeight="1" thickBot="1" x14ac:dyDescent="0.3">
      <c r="A21" s="736" t="s">
        <v>13</v>
      </c>
      <c r="B21" s="737" t="s">
        <v>14</v>
      </c>
      <c r="C21" s="738"/>
      <c r="D21" s="739" t="s">
        <v>15</v>
      </c>
      <c r="E21" s="737" t="s">
        <v>16</v>
      </c>
      <c r="F21" s="740"/>
      <c r="G21" s="738"/>
      <c r="H21" s="741" t="s">
        <v>19</v>
      </c>
      <c r="I21" s="399" t="s">
        <v>20</v>
      </c>
      <c r="J21" s="399" t="s">
        <v>20</v>
      </c>
      <c r="K21" s="399" t="s">
        <v>21</v>
      </c>
      <c r="L21" s="168" t="s">
        <v>22</v>
      </c>
    </row>
    <row r="22" spans="1:12" ht="14.25" customHeight="1" x14ac:dyDescent="0.25">
      <c r="A22" s="525"/>
      <c r="B22" s="482"/>
      <c r="C22" s="472"/>
      <c r="D22" s="529"/>
      <c r="E22" s="482"/>
      <c r="F22" s="437"/>
      <c r="G22" s="472"/>
      <c r="H22" s="531"/>
      <c r="I22" s="157" t="s">
        <v>23</v>
      </c>
      <c r="J22" s="157" t="s">
        <v>24</v>
      </c>
      <c r="K22" s="157" t="s">
        <v>25</v>
      </c>
      <c r="L22" s="158" t="s">
        <v>26</v>
      </c>
    </row>
    <row r="23" spans="1:12" ht="14.25" customHeight="1" thickBot="1" x14ac:dyDescent="0.3">
      <c r="A23" s="636"/>
      <c r="B23" s="642"/>
      <c r="C23" s="643"/>
      <c r="D23" s="62"/>
      <c r="E23" s="644"/>
      <c r="F23" s="501"/>
      <c r="G23" s="645"/>
      <c r="H23" s="184"/>
      <c r="I23" s="62"/>
      <c r="J23" s="62"/>
      <c r="K23" s="62"/>
      <c r="L23" s="46"/>
    </row>
    <row r="24" spans="1:12" ht="14.25" customHeight="1" x14ac:dyDescent="0.25">
      <c r="D24" s="10" t="s">
        <v>31</v>
      </c>
      <c r="E24" s="17"/>
      <c r="F24" s="11"/>
      <c r="G24" s="11"/>
      <c r="H24" s="173"/>
      <c r="I24" s="11"/>
      <c r="K24" s="32">
        <f t="shared" ref="K24:L24" si="0">SUM(K23)</f>
        <v>0</v>
      </c>
      <c r="L24" s="32">
        <f t="shared" si="0"/>
        <v>0</v>
      </c>
    </row>
    <row r="25" spans="1:12" ht="14.25" customHeight="1" thickBot="1" x14ac:dyDescent="0.3">
      <c r="A25" s="7" t="s">
        <v>32</v>
      </c>
      <c r="B25" s="18"/>
      <c r="C25" s="19"/>
      <c r="D25" s="19"/>
      <c r="E25" s="2"/>
      <c r="F25" s="19"/>
      <c r="G25" s="19"/>
      <c r="H25" s="175"/>
      <c r="I25" s="19"/>
      <c r="J25" s="19"/>
      <c r="K25" s="19"/>
      <c r="L25" s="19"/>
    </row>
    <row r="26" spans="1:12" ht="14.25" customHeight="1" x14ac:dyDescent="0.25">
      <c r="A26" s="742" t="s">
        <v>15</v>
      </c>
      <c r="B26" s="503"/>
      <c r="C26" s="527"/>
      <c r="D26" s="526" t="s">
        <v>16</v>
      </c>
      <c r="E26" s="503"/>
      <c r="F26" s="527"/>
      <c r="G26" s="526" t="s">
        <v>33</v>
      </c>
      <c r="H26" s="503"/>
      <c r="I26" s="503"/>
      <c r="J26" s="527"/>
      <c r="K26" s="526" t="s">
        <v>34</v>
      </c>
      <c r="L26" s="734"/>
    </row>
    <row r="27" spans="1:12" ht="14.25" customHeight="1" x14ac:dyDescent="0.25">
      <c r="A27" s="743"/>
      <c r="B27" s="437"/>
      <c r="C27" s="472"/>
      <c r="D27" s="482"/>
      <c r="E27" s="437"/>
      <c r="F27" s="472"/>
      <c r="G27" s="482"/>
      <c r="H27" s="437"/>
      <c r="I27" s="437"/>
      <c r="J27" s="472"/>
      <c r="K27" s="482"/>
      <c r="L27" s="735"/>
    </row>
    <row r="28" spans="1:12" ht="14.25" customHeight="1" x14ac:dyDescent="0.25">
      <c r="A28" s="756"/>
      <c r="B28" s="453"/>
      <c r="C28" s="477"/>
      <c r="D28" s="539"/>
      <c r="E28" s="453"/>
      <c r="F28" s="477"/>
      <c r="G28" s="539"/>
      <c r="H28" s="453"/>
      <c r="I28" s="453"/>
      <c r="J28" s="477"/>
      <c r="K28" s="478"/>
      <c r="L28" s="757"/>
    </row>
    <row r="29" spans="1:12" ht="14.25" customHeight="1" x14ac:dyDescent="0.25">
      <c r="A29" s="756"/>
      <c r="B29" s="646"/>
      <c r="C29" s="647"/>
      <c r="D29" s="539"/>
      <c r="E29" s="648"/>
      <c r="F29" s="649"/>
      <c r="G29" s="539"/>
      <c r="H29" s="648"/>
      <c r="I29" s="648"/>
      <c r="J29" s="649"/>
      <c r="K29" s="478"/>
      <c r="L29" s="798"/>
    </row>
    <row r="30" spans="1:12" ht="13.5" customHeight="1" thickBot="1" x14ac:dyDescent="0.3">
      <c r="A30" s="730"/>
      <c r="B30" s="642"/>
      <c r="C30" s="643"/>
      <c r="D30" s="731"/>
      <c r="E30" s="642"/>
      <c r="F30" s="643"/>
      <c r="G30" s="731"/>
      <c r="H30" s="642"/>
      <c r="I30" s="642"/>
      <c r="J30" s="643"/>
      <c r="K30" s="732"/>
      <c r="L30" s="733"/>
    </row>
    <row r="31" spans="1:12" ht="14.25" customHeight="1" x14ac:dyDescent="0.25">
      <c r="A31" s="389"/>
      <c r="B31" s="389"/>
      <c r="C31" s="389"/>
      <c r="D31" s="10" t="s">
        <v>35</v>
      </c>
      <c r="E31" s="17"/>
      <c r="F31" s="11"/>
      <c r="G31" s="11"/>
      <c r="H31" s="173"/>
      <c r="I31" s="11"/>
      <c r="J31" s="20"/>
      <c r="K31" s="451"/>
      <c r="L31" s="437"/>
    </row>
    <row r="32" spans="1:12" ht="14.25" customHeight="1" x14ac:dyDescent="0.25">
      <c r="A32" s="389"/>
      <c r="B32" s="389"/>
      <c r="C32" s="389"/>
      <c r="D32" s="10" t="s">
        <v>36</v>
      </c>
      <c r="E32" s="17"/>
      <c r="F32" s="11"/>
      <c r="G32" s="11"/>
      <c r="H32" s="173"/>
      <c r="I32" s="11"/>
      <c r="K32" s="452">
        <f>L19+L24+K31</f>
        <v>0</v>
      </c>
      <c r="L32" s="453"/>
    </row>
    <row r="33" spans="1:12" ht="14.25" customHeight="1" thickBot="1" x14ac:dyDescent="0.3">
      <c r="A33" s="7" t="s">
        <v>37</v>
      </c>
      <c r="B33" s="19"/>
      <c r="D33" s="21"/>
      <c r="E33" s="22"/>
      <c r="F33" s="21"/>
      <c r="G33" s="21"/>
      <c r="H33" s="176"/>
      <c r="I33" s="21"/>
      <c r="J33" s="21"/>
      <c r="K33" s="23"/>
      <c r="L33" s="24"/>
    </row>
    <row r="34" spans="1:12" ht="14.25" customHeight="1" x14ac:dyDescent="0.25">
      <c r="A34" s="485" t="s">
        <v>13</v>
      </c>
      <c r="B34" s="487" t="s">
        <v>14</v>
      </c>
      <c r="C34" s="760"/>
      <c r="D34" s="487" t="s">
        <v>15</v>
      </c>
      <c r="E34" s="487" t="s">
        <v>16</v>
      </c>
      <c r="F34" s="448" t="s">
        <v>17</v>
      </c>
      <c r="G34" s="448" t="s">
        <v>18</v>
      </c>
      <c r="H34" s="441" t="s">
        <v>19</v>
      </c>
      <c r="I34" s="74" t="s">
        <v>20</v>
      </c>
      <c r="J34" s="74" t="s">
        <v>20</v>
      </c>
      <c r="K34" s="74" t="s">
        <v>21</v>
      </c>
      <c r="L34" s="75" t="s">
        <v>22</v>
      </c>
    </row>
    <row r="35" spans="1:12" ht="14.25" customHeight="1" thickBot="1" x14ac:dyDescent="0.3">
      <c r="A35" s="759"/>
      <c r="B35" s="577"/>
      <c r="C35" s="577"/>
      <c r="D35" s="577"/>
      <c r="E35" s="577"/>
      <c r="F35" s="577"/>
      <c r="G35" s="577"/>
      <c r="H35" s="650"/>
      <c r="I35" s="76" t="s">
        <v>23</v>
      </c>
      <c r="J35" s="76" t="s">
        <v>24</v>
      </c>
      <c r="K35" s="76" t="s">
        <v>25</v>
      </c>
      <c r="L35" s="77" t="s">
        <v>26</v>
      </c>
    </row>
    <row r="36" spans="1:12" ht="14.25" customHeight="1" x14ac:dyDescent="0.25">
      <c r="A36" s="511" t="s">
        <v>133</v>
      </c>
      <c r="B36" s="795" t="s">
        <v>132</v>
      </c>
      <c r="C36" s="795"/>
      <c r="D36" s="763" t="s">
        <v>187</v>
      </c>
      <c r="E36" s="114" t="s">
        <v>299</v>
      </c>
      <c r="F36" s="413" t="s">
        <v>229</v>
      </c>
      <c r="G36" s="513" t="s">
        <v>188</v>
      </c>
      <c r="H36" s="794">
        <v>40</v>
      </c>
      <c r="I36" s="513">
        <v>2</v>
      </c>
      <c r="J36" s="513">
        <v>1</v>
      </c>
      <c r="K36" s="513">
        <v>3</v>
      </c>
      <c r="L36" s="514">
        <v>5</v>
      </c>
    </row>
    <row r="37" spans="1:12" ht="18" customHeight="1" thickBot="1" x14ac:dyDescent="0.3">
      <c r="A37" s="558"/>
      <c r="B37" s="796"/>
      <c r="C37" s="796"/>
      <c r="D37" s="124" t="s">
        <v>187</v>
      </c>
      <c r="E37" s="125" t="s">
        <v>127</v>
      </c>
      <c r="F37" s="414" t="s">
        <v>102</v>
      </c>
      <c r="G37" s="551"/>
      <c r="H37" s="797"/>
      <c r="I37" s="551"/>
      <c r="J37" s="551"/>
      <c r="K37" s="551"/>
      <c r="L37" s="552"/>
    </row>
    <row r="38" spans="1:12" x14ac:dyDescent="0.25">
      <c r="A38" s="523"/>
      <c r="B38" s="431"/>
      <c r="C38" s="431"/>
      <c r="D38" s="4" t="s">
        <v>39</v>
      </c>
      <c r="E38" s="22"/>
      <c r="F38" s="21"/>
      <c r="G38" s="21"/>
      <c r="H38" s="176"/>
      <c r="I38" s="21"/>
      <c r="J38" s="21"/>
      <c r="K38" s="266">
        <v>6</v>
      </c>
      <c r="L38" s="266">
        <v>10</v>
      </c>
    </row>
    <row r="39" spans="1:12" x14ac:dyDescent="0.25">
      <c r="A39" s="133"/>
      <c r="B39" s="133"/>
      <c r="C39" s="133"/>
      <c r="D39" s="134" t="s">
        <v>40</v>
      </c>
      <c r="E39" s="135"/>
      <c r="F39" s="136"/>
      <c r="G39" s="136"/>
      <c r="H39" s="185"/>
      <c r="I39" s="136"/>
      <c r="J39" s="136"/>
      <c r="K39" s="266">
        <f>SUM(K19,K24,K38)</f>
        <v>6</v>
      </c>
      <c r="L39" s="266">
        <f>(L19+L24+K31+L38)</f>
        <v>10</v>
      </c>
    </row>
    <row r="40" spans="1:12" x14ac:dyDescent="0.25">
      <c r="A40" s="133"/>
      <c r="B40" s="133"/>
      <c r="C40" s="133"/>
      <c r="D40" s="134"/>
      <c r="E40" s="135"/>
      <c r="F40" s="136"/>
      <c r="G40" s="136"/>
      <c r="H40" s="185"/>
      <c r="I40" s="136"/>
      <c r="J40" s="136"/>
      <c r="K40" s="137"/>
      <c r="L40" s="137"/>
    </row>
    <row r="41" spans="1:12" ht="16.5" x14ac:dyDescent="0.3">
      <c r="A41" s="440" t="s">
        <v>41</v>
      </c>
      <c r="B41" s="431"/>
      <c r="C41" s="431"/>
      <c r="D41" s="27"/>
      <c r="E41" s="27"/>
      <c r="F41" s="27"/>
      <c r="G41" s="27"/>
      <c r="H41" s="178" t="s">
        <v>42</v>
      </c>
      <c r="I41" s="6"/>
      <c r="J41" s="6"/>
      <c r="K41" s="6"/>
      <c r="L41" s="5"/>
    </row>
    <row r="42" spans="1:12" x14ac:dyDescent="0.25">
      <c r="A42" s="28"/>
      <c r="B42" s="28"/>
      <c r="C42" s="28"/>
      <c r="D42" s="20"/>
      <c r="E42" s="2"/>
      <c r="F42" s="20"/>
      <c r="G42" s="20"/>
      <c r="H42" s="179"/>
      <c r="I42" s="28"/>
      <c r="J42" s="28"/>
      <c r="K42" s="28"/>
      <c r="L42" s="28"/>
    </row>
    <row r="43" spans="1:12" x14ac:dyDescent="0.25">
      <c r="A43" s="432" t="s">
        <v>43</v>
      </c>
      <c r="B43" s="431"/>
      <c r="C43" s="431"/>
      <c r="D43" s="27"/>
      <c r="E43" s="27"/>
      <c r="F43" s="27"/>
      <c r="G43" s="27"/>
      <c r="H43" s="433" t="s">
        <v>44</v>
      </c>
      <c r="I43" s="434"/>
      <c r="J43" s="434"/>
      <c r="K43" s="434"/>
      <c r="L43" s="434"/>
    </row>
    <row r="44" spans="1:12" x14ac:dyDescent="0.25">
      <c r="A44" s="435" t="s">
        <v>45</v>
      </c>
      <c r="B44" s="431"/>
      <c r="C44" s="431"/>
      <c r="D44" s="27"/>
      <c r="E44" s="27"/>
      <c r="F44" s="27"/>
      <c r="G44" s="27"/>
      <c r="H44" s="435" t="s">
        <v>46</v>
      </c>
      <c r="I44" s="431"/>
      <c r="J44" s="431"/>
      <c r="K44" s="431"/>
      <c r="L44" s="431"/>
    </row>
    <row r="45" spans="1:12" x14ac:dyDescent="0.25">
      <c r="A45" s="20"/>
      <c r="B45" s="20"/>
      <c r="C45" s="20"/>
      <c r="D45" s="20"/>
      <c r="E45" s="2"/>
      <c r="F45" s="20"/>
      <c r="G45" s="20"/>
      <c r="H45" s="180"/>
      <c r="I45" s="20"/>
      <c r="J45" s="20"/>
      <c r="K45" s="20"/>
      <c r="L45" s="20"/>
    </row>
    <row r="46" spans="1:12" ht="14.25" customHeight="1" x14ac:dyDescent="0.25">
      <c r="A46" s="20"/>
      <c r="B46" s="20"/>
      <c r="D46" s="436" t="s">
        <v>192</v>
      </c>
      <c r="E46" s="437"/>
      <c r="F46" s="437"/>
      <c r="G46" s="437"/>
      <c r="H46" s="437"/>
      <c r="I46" s="437"/>
      <c r="J46" s="20"/>
      <c r="K46" s="20"/>
      <c r="L46" s="20"/>
    </row>
    <row r="47" spans="1:12" ht="14.25" customHeight="1" x14ac:dyDescent="0.25">
      <c r="C47" s="20"/>
      <c r="D47" s="433" t="s">
        <v>47</v>
      </c>
      <c r="E47" s="434"/>
      <c r="F47" s="434"/>
      <c r="G47" s="434"/>
      <c r="H47" s="434"/>
      <c r="I47" s="434"/>
      <c r="J47" s="20"/>
      <c r="K47" s="20"/>
      <c r="L47" s="20"/>
    </row>
    <row r="48" spans="1:12" ht="14.25" customHeight="1" x14ac:dyDescent="0.25">
      <c r="E48" s="2"/>
    </row>
    <row r="49" spans="5:5" ht="14.25" customHeight="1" x14ac:dyDescent="0.25">
      <c r="E49" s="2"/>
    </row>
    <row r="50" spans="5:5" ht="14.25" customHeight="1" x14ac:dyDescent="0.25">
      <c r="E50" s="2"/>
    </row>
    <row r="51" spans="5:5" ht="14.25" customHeight="1" x14ac:dyDescent="0.25">
      <c r="E51" s="2"/>
    </row>
    <row r="52" spans="5:5" ht="14.25" customHeight="1" x14ac:dyDescent="0.25">
      <c r="E52" s="2"/>
    </row>
    <row r="53" spans="5:5" ht="14.25" customHeight="1" x14ac:dyDescent="0.25">
      <c r="E53" s="2"/>
    </row>
    <row r="54" spans="5:5" ht="14.25" customHeight="1" x14ac:dyDescent="0.25">
      <c r="E54" s="2"/>
    </row>
    <row r="55" spans="5:5" ht="14.25" customHeight="1" x14ac:dyDescent="0.25">
      <c r="E55" s="2"/>
    </row>
    <row r="56" spans="5:5" ht="14.25" customHeight="1" x14ac:dyDescent="0.25">
      <c r="E56" s="2"/>
    </row>
    <row r="57" spans="5:5" ht="14.25" customHeight="1" x14ac:dyDescent="0.25">
      <c r="E57" s="2"/>
    </row>
    <row r="58" spans="5:5" ht="14.25" customHeight="1" x14ac:dyDescent="0.25">
      <c r="E58" s="2"/>
    </row>
    <row r="59" spans="5:5" ht="14.25" customHeight="1" x14ac:dyDescent="0.25">
      <c r="E59" s="2"/>
    </row>
    <row r="60" spans="5:5" ht="14.25" customHeight="1" x14ac:dyDescent="0.25">
      <c r="E60" s="2"/>
    </row>
    <row r="61" spans="5:5" ht="14.25" customHeight="1" x14ac:dyDescent="0.25">
      <c r="E61" s="2"/>
    </row>
    <row r="62" spans="5:5" ht="14.25" customHeight="1" x14ac:dyDescent="0.25">
      <c r="E62" s="2"/>
    </row>
    <row r="63" spans="5:5" ht="14.25" customHeight="1" x14ac:dyDescent="0.25">
      <c r="E63" s="2"/>
    </row>
    <row r="64" spans="5:5" ht="14.25" customHeight="1" x14ac:dyDescent="0.25">
      <c r="E64" s="2"/>
    </row>
    <row r="65" spans="5:5" ht="14.25" customHeight="1" x14ac:dyDescent="0.25">
      <c r="E65" s="2"/>
    </row>
    <row r="66" spans="5:5" ht="14.25" customHeight="1" x14ac:dyDescent="0.25">
      <c r="E66" s="2"/>
    </row>
    <row r="67" spans="5:5" ht="14.25" customHeight="1" x14ac:dyDescent="0.25">
      <c r="E67" s="2"/>
    </row>
    <row r="68" spans="5:5" ht="14.25" customHeight="1" x14ac:dyDescent="0.25">
      <c r="E68" s="2"/>
    </row>
    <row r="69" spans="5:5" ht="14.25" customHeight="1" x14ac:dyDescent="0.25">
      <c r="E69" s="2"/>
    </row>
    <row r="70" spans="5:5" ht="14.25" customHeight="1" x14ac:dyDescent="0.25">
      <c r="E70" s="2"/>
    </row>
    <row r="71" spans="5:5" ht="14.25" customHeight="1" x14ac:dyDescent="0.25">
      <c r="E71" s="2"/>
    </row>
    <row r="72" spans="5:5" ht="14.25" customHeight="1" x14ac:dyDescent="0.25">
      <c r="E72" s="2"/>
    </row>
    <row r="73" spans="5:5" ht="14.25" customHeight="1" x14ac:dyDescent="0.25">
      <c r="E73" s="2"/>
    </row>
    <row r="74" spans="5:5" ht="14.25" customHeight="1" x14ac:dyDescent="0.25">
      <c r="E74" s="2"/>
    </row>
    <row r="75" spans="5:5" ht="14.25" customHeight="1" x14ac:dyDescent="0.25">
      <c r="E75" s="2"/>
    </row>
    <row r="76" spans="5:5" ht="14.25" customHeight="1" x14ac:dyDescent="0.25">
      <c r="E76" s="2"/>
    </row>
    <row r="77" spans="5:5" ht="14.25" customHeight="1" x14ac:dyDescent="0.25">
      <c r="E77" s="2"/>
    </row>
    <row r="78" spans="5:5" ht="14.25" customHeight="1" x14ac:dyDescent="0.25">
      <c r="E78" s="2"/>
    </row>
    <row r="79" spans="5:5" ht="14.25" customHeight="1" x14ac:dyDescent="0.25">
      <c r="E79" s="2"/>
    </row>
    <row r="80" spans="5:5" ht="14.25" customHeight="1" x14ac:dyDescent="0.25">
      <c r="E80" s="2"/>
    </row>
    <row r="81" spans="5:5" ht="14.25" customHeight="1" x14ac:dyDescent="0.25">
      <c r="E81" s="2"/>
    </row>
    <row r="82" spans="5:5" ht="14.25" customHeight="1" x14ac:dyDescent="0.25">
      <c r="E82" s="2"/>
    </row>
    <row r="83" spans="5:5" ht="14.25" customHeight="1" x14ac:dyDescent="0.25">
      <c r="E83" s="2"/>
    </row>
    <row r="84" spans="5:5" ht="14.25" customHeight="1" x14ac:dyDescent="0.25">
      <c r="E84" s="2"/>
    </row>
    <row r="85" spans="5:5" ht="14.25" customHeight="1" x14ac:dyDescent="0.25">
      <c r="E85" s="2"/>
    </row>
    <row r="86" spans="5:5" ht="14.25" customHeight="1" x14ac:dyDescent="0.25">
      <c r="E86" s="2"/>
    </row>
    <row r="87" spans="5:5" ht="14.25" customHeight="1" x14ac:dyDescent="0.25">
      <c r="E87" s="2"/>
    </row>
    <row r="88" spans="5:5" ht="14.25" customHeight="1" x14ac:dyDescent="0.25">
      <c r="E88" s="2"/>
    </row>
    <row r="89" spans="5:5" ht="14.25" customHeight="1" x14ac:dyDescent="0.25">
      <c r="E89" s="2"/>
    </row>
    <row r="90" spans="5:5" ht="14.25" customHeight="1" x14ac:dyDescent="0.25">
      <c r="E90" s="2"/>
    </row>
    <row r="91" spans="5:5" ht="14.25" customHeight="1" x14ac:dyDescent="0.25">
      <c r="E91" s="2"/>
    </row>
    <row r="92" spans="5:5" ht="14.25" customHeight="1" x14ac:dyDescent="0.25">
      <c r="E92" s="2"/>
    </row>
    <row r="93" spans="5:5" ht="14.25" customHeight="1" x14ac:dyDescent="0.25">
      <c r="E93" s="2"/>
    </row>
    <row r="94" spans="5:5" ht="14.25" customHeight="1" x14ac:dyDescent="0.25">
      <c r="E94" s="2"/>
    </row>
    <row r="95" spans="5:5" ht="14.25" customHeight="1" x14ac:dyDescent="0.25">
      <c r="E95" s="2"/>
    </row>
    <row r="96" spans="5:5" ht="14.25" customHeight="1" x14ac:dyDescent="0.25">
      <c r="E96" s="2"/>
    </row>
    <row r="97" spans="5:5" ht="14.25" customHeight="1" x14ac:dyDescent="0.25">
      <c r="E97" s="2"/>
    </row>
    <row r="98" spans="5:5" ht="14.25" customHeight="1" x14ac:dyDescent="0.25">
      <c r="E98" s="2"/>
    </row>
    <row r="99" spans="5:5" ht="14.25" customHeight="1" x14ac:dyDescent="0.25">
      <c r="E99" s="2"/>
    </row>
    <row r="100" spans="5:5" ht="14.25" customHeight="1" x14ac:dyDescent="0.25">
      <c r="E100" s="2"/>
    </row>
    <row r="101" spans="5:5" ht="14.25" customHeight="1" x14ac:dyDescent="0.25">
      <c r="E101" s="2"/>
    </row>
    <row r="102" spans="5:5" ht="14.25" customHeight="1" x14ac:dyDescent="0.25">
      <c r="E102" s="2"/>
    </row>
    <row r="103" spans="5:5" ht="14.25" customHeight="1" x14ac:dyDescent="0.25">
      <c r="E103" s="2"/>
    </row>
    <row r="104" spans="5:5" ht="14.25" customHeight="1" x14ac:dyDescent="0.25">
      <c r="E104" s="2"/>
    </row>
    <row r="105" spans="5:5" ht="14.25" customHeight="1" x14ac:dyDescent="0.25">
      <c r="E105" s="2"/>
    </row>
    <row r="106" spans="5:5" ht="14.25" customHeight="1" x14ac:dyDescent="0.25">
      <c r="E106" s="2"/>
    </row>
    <row r="107" spans="5:5" ht="14.25" customHeight="1" x14ac:dyDescent="0.25">
      <c r="E107" s="2"/>
    </row>
    <row r="108" spans="5:5" ht="14.25" customHeight="1" x14ac:dyDescent="0.25">
      <c r="E108" s="2"/>
    </row>
    <row r="109" spans="5:5" ht="14.25" customHeight="1" x14ac:dyDescent="0.25">
      <c r="E109" s="2"/>
    </row>
    <row r="110" spans="5:5" ht="14.25" customHeight="1" x14ac:dyDescent="0.25">
      <c r="E110" s="2"/>
    </row>
    <row r="111" spans="5:5" ht="14.25" customHeight="1" x14ac:dyDescent="0.25">
      <c r="E111" s="2"/>
    </row>
    <row r="112" spans="5:5" ht="14.25" customHeight="1" x14ac:dyDescent="0.25">
      <c r="E112" s="2"/>
    </row>
    <row r="113" spans="5:5" ht="14.25" customHeight="1" x14ac:dyDescent="0.25">
      <c r="E113" s="2"/>
    </row>
    <row r="114" spans="5:5" ht="14.25" customHeight="1" x14ac:dyDescent="0.25">
      <c r="E114" s="2"/>
    </row>
    <row r="115" spans="5:5" ht="14.25" customHeight="1" x14ac:dyDescent="0.25">
      <c r="E115" s="2"/>
    </row>
    <row r="116" spans="5:5" ht="14.25" customHeight="1" x14ac:dyDescent="0.25">
      <c r="E116" s="2"/>
    </row>
    <row r="117" spans="5:5" ht="14.25" customHeight="1" x14ac:dyDescent="0.25">
      <c r="E117" s="2"/>
    </row>
    <row r="118" spans="5:5" ht="14.25" customHeight="1" x14ac:dyDescent="0.25">
      <c r="E118" s="2"/>
    </row>
    <row r="119" spans="5:5" ht="14.25" customHeight="1" x14ac:dyDescent="0.25">
      <c r="E119" s="2"/>
    </row>
    <row r="120" spans="5:5" ht="14.25" customHeight="1" x14ac:dyDescent="0.25">
      <c r="E120" s="2"/>
    </row>
    <row r="121" spans="5:5" ht="14.25" customHeight="1" x14ac:dyDescent="0.25">
      <c r="E121" s="2"/>
    </row>
    <row r="122" spans="5:5" ht="14.25" customHeight="1" x14ac:dyDescent="0.25">
      <c r="E122" s="2"/>
    </row>
    <row r="123" spans="5:5" ht="14.25" customHeight="1" x14ac:dyDescent="0.25">
      <c r="E123" s="2"/>
    </row>
    <row r="124" spans="5:5" ht="14.25" customHeight="1" x14ac:dyDescent="0.25">
      <c r="E124" s="2"/>
    </row>
    <row r="125" spans="5:5" ht="14.25" customHeight="1" x14ac:dyDescent="0.25">
      <c r="E125" s="2"/>
    </row>
    <row r="126" spans="5:5" ht="14.25" customHeight="1" x14ac:dyDescent="0.25">
      <c r="E126" s="2"/>
    </row>
    <row r="127" spans="5:5" ht="14.25" customHeight="1" x14ac:dyDescent="0.25">
      <c r="E127" s="2"/>
    </row>
    <row r="128" spans="5:5" ht="14.25" customHeight="1" x14ac:dyDescent="0.25">
      <c r="E128" s="2"/>
    </row>
    <row r="129" spans="5:5" ht="14.25" customHeight="1" x14ac:dyDescent="0.25">
      <c r="E129" s="2"/>
    </row>
    <row r="130" spans="5:5" ht="14.25" customHeight="1" x14ac:dyDescent="0.25">
      <c r="E130" s="2"/>
    </row>
    <row r="131" spans="5:5" ht="14.25" customHeight="1" x14ac:dyDescent="0.25">
      <c r="E131" s="2"/>
    </row>
    <row r="132" spans="5:5" ht="14.25" customHeight="1" x14ac:dyDescent="0.25">
      <c r="E132" s="2"/>
    </row>
    <row r="133" spans="5:5" ht="14.25" customHeight="1" x14ac:dyDescent="0.25">
      <c r="E133" s="2"/>
    </row>
    <row r="134" spans="5:5" ht="14.25" customHeight="1" x14ac:dyDescent="0.25">
      <c r="E134" s="2"/>
    </row>
    <row r="135" spans="5:5" ht="14.25" customHeight="1" x14ac:dyDescent="0.25">
      <c r="E135" s="2"/>
    </row>
    <row r="136" spans="5:5" ht="14.25" customHeight="1" x14ac:dyDescent="0.25">
      <c r="E136" s="2"/>
    </row>
    <row r="137" spans="5:5" ht="14.25" customHeight="1" x14ac:dyDescent="0.25">
      <c r="E137" s="2"/>
    </row>
    <row r="138" spans="5:5" ht="14.25" customHeight="1" x14ac:dyDescent="0.25">
      <c r="E138" s="2"/>
    </row>
    <row r="139" spans="5:5" ht="14.25" customHeight="1" x14ac:dyDescent="0.25">
      <c r="E139" s="2"/>
    </row>
    <row r="140" spans="5:5" ht="14.25" customHeight="1" x14ac:dyDescent="0.25">
      <c r="E140" s="2"/>
    </row>
    <row r="141" spans="5:5" ht="14.25" customHeight="1" x14ac:dyDescent="0.25">
      <c r="E141" s="2"/>
    </row>
    <row r="142" spans="5:5" ht="14.25" customHeight="1" x14ac:dyDescent="0.25">
      <c r="E142" s="2"/>
    </row>
    <row r="143" spans="5:5" ht="14.25" customHeight="1" x14ac:dyDescent="0.25">
      <c r="E143" s="2"/>
    </row>
    <row r="144" spans="5:5" ht="14.25" customHeight="1" x14ac:dyDescent="0.25">
      <c r="E144" s="2"/>
    </row>
    <row r="145" spans="5:5" ht="14.25" customHeight="1" x14ac:dyDescent="0.25">
      <c r="E145" s="2"/>
    </row>
    <row r="146" spans="5:5" ht="14.25" customHeight="1" x14ac:dyDescent="0.25">
      <c r="E146" s="2"/>
    </row>
    <row r="147" spans="5:5" ht="14.25" customHeight="1" x14ac:dyDescent="0.25">
      <c r="E147" s="2"/>
    </row>
    <row r="148" spans="5:5" ht="14.25" customHeight="1" x14ac:dyDescent="0.25">
      <c r="E148" s="2"/>
    </row>
    <row r="149" spans="5:5" ht="14.25" customHeight="1" x14ac:dyDescent="0.25">
      <c r="E149" s="2"/>
    </row>
    <row r="150" spans="5:5" ht="14.25" customHeight="1" x14ac:dyDescent="0.25">
      <c r="E150" s="2"/>
    </row>
    <row r="151" spans="5:5" ht="14.25" customHeight="1" x14ac:dyDescent="0.25">
      <c r="E151" s="2"/>
    </row>
    <row r="152" spans="5:5" ht="14.25" customHeight="1" x14ac:dyDescent="0.25">
      <c r="E152" s="2"/>
    </row>
    <row r="153" spans="5:5" ht="14.25" customHeight="1" x14ac:dyDescent="0.25">
      <c r="E153" s="2"/>
    </row>
    <row r="154" spans="5:5" ht="14.25" customHeight="1" x14ac:dyDescent="0.25">
      <c r="E154" s="2"/>
    </row>
    <row r="155" spans="5:5" ht="14.25" customHeight="1" x14ac:dyDescent="0.25">
      <c r="E155" s="2"/>
    </row>
    <row r="156" spans="5:5" ht="14.25" customHeight="1" x14ac:dyDescent="0.25">
      <c r="E156" s="2"/>
    </row>
    <row r="157" spans="5:5" ht="14.25" customHeight="1" x14ac:dyDescent="0.25">
      <c r="E157" s="2"/>
    </row>
    <row r="158" spans="5:5" ht="14.25" customHeight="1" x14ac:dyDescent="0.25">
      <c r="E158" s="2"/>
    </row>
    <row r="159" spans="5:5" ht="14.25" customHeight="1" x14ac:dyDescent="0.25">
      <c r="E159" s="2"/>
    </row>
    <row r="160" spans="5:5" ht="14.25" customHeight="1" x14ac:dyDescent="0.25">
      <c r="E160" s="2"/>
    </row>
    <row r="161" spans="5:5" ht="14.25" customHeight="1" x14ac:dyDescent="0.25">
      <c r="E161" s="2"/>
    </row>
    <row r="162" spans="5:5" ht="14.25" customHeight="1" x14ac:dyDescent="0.25">
      <c r="E162" s="2"/>
    </row>
    <row r="163" spans="5:5" ht="14.25" customHeight="1" x14ac:dyDescent="0.25">
      <c r="E163" s="2"/>
    </row>
    <row r="164" spans="5:5" ht="14.25" customHeight="1" x14ac:dyDescent="0.25">
      <c r="E164" s="2"/>
    </row>
    <row r="165" spans="5:5" ht="14.25" customHeight="1" x14ac:dyDescent="0.25">
      <c r="E165" s="2"/>
    </row>
    <row r="166" spans="5:5" ht="14.25" customHeight="1" x14ac:dyDescent="0.25">
      <c r="E166" s="2"/>
    </row>
    <row r="167" spans="5:5" ht="14.25" customHeight="1" x14ac:dyDescent="0.25">
      <c r="E167" s="2"/>
    </row>
    <row r="168" spans="5:5" ht="14.25" customHeight="1" x14ac:dyDescent="0.25">
      <c r="E168" s="2"/>
    </row>
    <row r="169" spans="5:5" ht="14.25" customHeight="1" x14ac:dyDescent="0.25">
      <c r="E169" s="2"/>
    </row>
    <row r="170" spans="5:5" ht="14.25" customHeight="1" x14ac:dyDescent="0.25">
      <c r="E170" s="2"/>
    </row>
    <row r="171" spans="5:5" ht="14.25" customHeight="1" x14ac:dyDescent="0.25">
      <c r="E171" s="2"/>
    </row>
    <row r="172" spans="5:5" ht="14.25" customHeight="1" x14ac:dyDescent="0.25">
      <c r="E172" s="2"/>
    </row>
    <row r="173" spans="5:5" ht="14.25" customHeight="1" x14ac:dyDescent="0.25">
      <c r="E173" s="2"/>
    </row>
    <row r="174" spans="5:5" ht="14.25" customHeight="1" x14ac:dyDescent="0.25">
      <c r="E174" s="2"/>
    </row>
    <row r="175" spans="5:5" ht="14.25" customHeight="1" x14ac:dyDescent="0.25">
      <c r="E175" s="2"/>
    </row>
    <row r="176" spans="5:5" ht="14.25" customHeight="1" x14ac:dyDescent="0.25">
      <c r="E176" s="2"/>
    </row>
    <row r="177" spans="5:5" ht="14.25" customHeight="1" x14ac:dyDescent="0.25">
      <c r="E177" s="2"/>
    </row>
    <row r="178" spans="5:5" ht="14.25" customHeight="1" x14ac:dyDescent="0.25">
      <c r="E178" s="2"/>
    </row>
    <row r="179" spans="5:5" ht="14.25" customHeight="1" x14ac:dyDescent="0.25">
      <c r="E179" s="2"/>
    </row>
    <row r="180" spans="5:5" ht="14.25" customHeight="1" x14ac:dyDescent="0.25">
      <c r="E180" s="2"/>
    </row>
    <row r="181" spans="5:5" ht="14.25" customHeight="1" x14ac:dyDescent="0.25">
      <c r="E181" s="2"/>
    </row>
    <row r="182" spans="5:5" ht="14.25" customHeight="1" x14ac:dyDescent="0.25">
      <c r="E182" s="2"/>
    </row>
    <row r="183" spans="5:5" ht="14.25" customHeight="1" x14ac:dyDescent="0.25">
      <c r="E183" s="2"/>
    </row>
    <row r="184" spans="5:5" ht="14.25" customHeight="1" x14ac:dyDescent="0.25">
      <c r="E184" s="2"/>
    </row>
    <row r="185" spans="5:5" ht="14.25" customHeight="1" x14ac:dyDescent="0.25">
      <c r="E185" s="2"/>
    </row>
    <row r="186" spans="5:5" ht="14.25" customHeight="1" x14ac:dyDescent="0.25">
      <c r="E186" s="2"/>
    </row>
    <row r="187" spans="5:5" ht="14.25" customHeight="1" x14ac:dyDescent="0.25">
      <c r="E187" s="2"/>
    </row>
    <row r="188" spans="5:5" ht="14.25" customHeight="1" x14ac:dyDescent="0.25">
      <c r="E188" s="2"/>
    </row>
    <row r="189" spans="5:5" ht="14.25" customHeight="1" x14ac:dyDescent="0.25">
      <c r="E189" s="2"/>
    </row>
    <row r="190" spans="5:5" ht="14.25" customHeight="1" x14ac:dyDescent="0.25">
      <c r="E190" s="2"/>
    </row>
    <row r="191" spans="5:5" ht="14.25" customHeight="1" x14ac:dyDescent="0.25">
      <c r="E191" s="2"/>
    </row>
    <row r="192" spans="5:5" ht="14.25" customHeight="1" x14ac:dyDescent="0.25">
      <c r="E192" s="2"/>
    </row>
    <row r="193" spans="5:5" ht="14.25" customHeight="1" x14ac:dyDescent="0.25">
      <c r="E193" s="2"/>
    </row>
    <row r="194" spans="5:5" ht="14.25" customHeight="1" x14ac:dyDescent="0.25">
      <c r="E194" s="2"/>
    </row>
    <row r="195" spans="5:5" ht="14.25" customHeight="1" x14ac:dyDescent="0.25">
      <c r="E195" s="2"/>
    </row>
    <row r="196" spans="5:5" ht="14.25" customHeight="1" x14ac:dyDescent="0.25">
      <c r="E196" s="2"/>
    </row>
    <row r="197" spans="5:5" ht="14.25" customHeight="1" x14ac:dyDescent="0.25">
      <c r="E197" s="2"/>
    </row>
    <row r="198" spans="5:5" ht="14.25" customHeight="1" x14ac:dyDescent="0.25">
      <c r="E198" s="2"/>
    </row>
    <row r="199" spans="5:5" ht="14.25" customHeight="1" x14ac:dyDescent="0.25">
      <c r="E199" s="2"/>
    </row>
    <row r="200" spans="5:5" ht="14.25" customHeight="1" x14ac:dyDescent="0.25">
      <c r="E200" s="2"/>
    </row>
    <row r="201" spans="5:5" ht="14.25" customHeight="1" x14ac:dyDescent="0.25">
      <c r="E201" s="2"/>
    </row>
    <row r="202" spans="5:5" ht="14.25" customHeight="1" x14ac:dyDescent="0.25">
      <c r="E202" s="2"/>
    </row>
    <row r="203" spans="5:5" ht="14.25" customHeight="1" x14ac:dyDescent="0.25">
      <c r="E203" s="2"/>
    </row>
    <row r="204" spans="5:5" ht="14.25" customHeight="1" x14ac:dyDescent="0.25">
      <c r="E204" s="2"/>
    </row>
    <row r="205" spans="5:5" ht="14.25" customHeight="1" x14ac:dyDescent="0.25">
      <c r="E205" s="2"/>
    </row>
    <row r="206" spans="5:5" ht="14.25" customHeight="1" x14ac:dyDescent="0.25">
      <c r="E206" s="2"/>
    </row>
    <row r="207" spans="5:5" ht="14.25" customHeight="1" x14ac:dyDescent="0.25">
      <c r="E207" s="2"/>
    </row>
    <row r="208" spans="5:5" ht="14.25" customHeight="1" x14ac:dyDescent="0.25">
      <c r="E208" s="2"/>
    </row>
    <row r="209" spans="5:5" ht="14.25" customHeight="1" x14ac:dyDescent="0.25">
      <c r="E209" s="2"/>
    </row>
    <row r="210" spans="5:5" ht="14.25" customHeight="1" x14ac:dyDescent="0.25">
      <c r="E210" s="2"/>
    </row>
    <row r="211" spans="5:5" ht="14.25" customHeight="1" x14ac:dyDescent="0.25">
      <c r="E211" s="2"/>
    </row>
    <row r="212" spans="5:5" ht="14.25" customHeight="1" x14ac:dyDescent="0.25">
      <c r="E212" s="2"/>
    </row>
    <row r="213" spans="5:5" ht="14.25" customHeight="1" x14ac:dyDescent="0.25">
      <c r="E213" s="2"/>
    </row>
    <row r="214" spans="5:5" ht="14.25" customHeight="1" x14ac:dyDescent="0.25">
      <c r="E214" s="2"/>
    </row>
    <row r="215" spans="5:5" ht="14.25" customHeight="1" x14ac:dyDescent="0.25">
      <c r="E215" s="2"/>
    </row>
    <row r="216" spans="5:5" ht="14.25" customHeight="1" x14ac:dyDescent="0.25">
      <c r="E216" s="2"/>
    </row>
    <row r="217" spans="5:5" ht="14.25" customHeight="1" x14ac:dyDescent="0.25">
      <c r="E217" s="2"/>
    </row>
    <row r="218" spans="5:5" ht="14.25" customHeight="1" x14ac:dyDescent="0.25">
      <c r="E218" s="2"/>
    </row>
    <row r="219" spans="5:5" ht="14.25" customHeight="1" x14ac:dyDescent="0.25">
      <c r="E219" s="2"/>
    </row>
    <row r="220" spans="5:5" ht="14.25" customHeight="1" x14ac:dyDescent="0.25">
      <c r="E220" s="2"/>
    </row>
    <row r="221" spans="5:5" ht="14.25" customHeight="1" x14ac:dyDescent="0.25">
      <c r="E221" s="2"/>
    </row>
    <row r="222" spans="5:5" ht="14.25" customHeight="1" x14ac:dyDescent="0.25">
      <c r="E222" s="2"/>
    </row>
    <row r="223" spans="5:5" ht="14.25" customHeight="1" x14ac:dyDescent="0.25">
      <c r="E223" s="2"/>
    </row>
    <row r="224" spans="5:5" ht="14.25" customHeight="1" x14ac:dyDescent="0.25">
      <c r="E224" s="2"/>
    </row>
    <row r="225" spans="5:5" ht="14.25" customHeight="1" x14ac:dyDescent="0.25">
      <c r="E225" s="2"/>
    </row>
    <row r="226" spans="5:5" ht="14.25" customHeight="1" x14ac:dyDescent="0.25">
      <c r="E226" s="2"/>
    </row>
    <row r="227" spans="5:5" ht="14.25" customHeight="1" x14ac:dyDescent="0.25">
      <c r="E227" s="2"/>
    </row>
    <row r="228" spans="5:5" ht="14.25" customHeight="1" x14ac:dyDescent="0.25">
      <c r="E228" s="2"/>
    </row>
    <row r="229" spans="5:5" ht="14.25" customHeight="1" x14ac:dyDescent="0.25">
      <c r="E229" s="2"/>
    </row>
    <row r="230" spans="5:5" ht="14.25" customHeight="1" x14ac:dyDescent="0.25">
      <c r="E230" s="2"/>
    </row>
    <row r="231" spans="5:5" ht="14.25" customHeight="1" x14ac:dyDescent="0.25">
      <c r="E231" s="2"/>
    </row>
    <row r="232" spans="5:5" ht="14.25" customHeight="1" x14ac:dyDescent="0.25">
      <c r="E232" s="2"/>
    </row>
    <row r="233" spans="5:5" ht="14.25" customHeight="1" x14ac:dyDescent="0.25">
      <c r="E233" s="2"/>
    </row>
    <row r="234" spans="5:5" ht="14.25" customHeight="1" x14ac:dyDescent="0.25">
      <c r="E234" s="2"/>
    </row>
    <row r="235" spans="5:5" ht="14.25" customHeight="1" x14ac:dyDescent="0.25">
      <c r="E235" s="2"/>
    </row>
    <row r="236" spans="5:5" ht="14.25" customHeight="1" x14ac:dyDescent="0.25">
      <c r="E236" s="2"/>
    </row>
    <row r="237" spans="5:5" ht="14.25" customHeight="1" x14ac:dyDescent="0.25">
      <c r="E237" s="2"/>
    </row>
    <row r="238" spans="5:5" ht="14.25" customHeight="1" x14ac:dyDescent="0.25">
      <c r="E238" s="2"/>
    </row>
    <row r="239" spans="5:5" ht="14.25" customHeight="1" x14ac:dyDescent="0.25">
      <c r="E239" s="2"/>
    </row>
    <row r="240" spans="5:5" ht="14.25" customHeight="1" x14ac:dyDescent="0.25">
      <c r="E240" s="2"/>
    </row>
    <row r="241" spans="5:5" ht="14.25" customHeight="1" x14ac:dyDescent="0.25">
      <c r="E241" s="2"/>
    </row>
    <row r="242" spans="5:5" ht="14.25" customHeight="1" x14ac:dyDescent="0.25">
      <c r="E242" s="2"/>
    </row>
    <row r="243" spans="5:5" ht="14.25" customHeight="1" x14ac:dyDescent="0.25">
      <c r="E243" s="2"/>
    </row>
    <row r="244" spans="5:5" ht="14.25" customHeight="1" x14ac:dyDescent="0.25">
      <c r="E244" s="2"/>
    </row>
    <row r="245" spans="5:5" ht="14.25" customHeight="1" x14ac:dyDescent="0.25">
      <c r="E245" s="2"/>
    </row>
    <row r="246" spans="5:5" ht="14.25" customHeight="1" x14ac:dyDescent="0.25">
      <c r="E246" s="2"/>
    </row>
    <row r="247" spans="5:5" ht="14.25" customHeight="1" x14ac:dyDescent="0.25">
      <c r="E247" s="2"/>
    </row>
    <row r="248" spans="5:5" ht="14.25" customHeight="1" x14ac:dyDescent="0.25">
      <c r="E248" s="2"/>
    </row>
    <row r="249" spans="5:5" ht="14.25" customHeight="1" x14ac:dyDescent="0.25">
      <c r="E249" s="2"/>
    </row>
    <row r="250" spans="5:5" ht="14.25" customHeight="1" x14ac:dyDescent="0.25">
      <c r="E250" s="2"/>
    </row>
    <row r="251" spans="5:5" ht="14.25" customHeight="1" x14ac:dyDescent="0.25">
      <c r="E251" s="2"/>
    </row>
    <row r="252" spans="5:5" ht="14.25" customHeight="1" x14ac:dyDescent="0.25">
      <c r="E252" s="2"/>
    </row>
    <row r="253" spans="5:5" ht="14.25" customHeight="1" x14ac:dyDescent="0.25">
      <c r="E253" s="2"/>
    </row>
    <row r="254" spans="5:5" ht="14.25" customHeight="1" x14ac:dyDescent="0.25">
      <c r="E254" s="2"/>
    </row>
    <row r="255" spans="5:5" ht="14.25" customHeight="1" x14ac:dyDescent="0.25">
      <c r="E255" s="2"/>
    </row>
    <row r="256" spans="5:5" ht="14.25" customHeight="1" x14ac:dyDescent="0.25">
      <c r="E256" s="2"/>
    </row>
    <row r="257" spans="5:5" ht="14.25" customHeight="1" x14ac:dyDescent="0.25">
      <c r="E257" s="2"/>
    </row>
    <row r="258" spans="5:5" ht="14.25" customHeight="1" x14ac:dyDescent="0.25">
      <c r="E258" s="2"/>
    </row>
    <row r="259" spans="5:5" ht="14.25" customHeight="1" x14ac:dyDescent="0.25">
      <c r="E259" s="2"/>
    </row>
    <row r="260" spans="5:5" ht="14.25" customHeight="1" x14ac:dyDescent="0.25">
      <c r="E260" s="2"/>
    </row>
    <row r="261" spans="5:5" ht="14.25" customHeight="1" x14ac:dyDescent="0.25">
      <c r="E261" s="2"/>
    </row>
    <row r="262" spans="5:5" ht="14.25" customHeight="1" x14ac:dyDescent="0.25">
      <c r="E262" s="2"/>
    </row>
    <row r="263" spans="5:5" ht="14.25" customHeight="1" x14ac:dyDescent="0.25">
      <c r="E263" s="2"/>
    </row>
    <row r="264" spans="5:5" ht="14.25" customHeight="1" x14ac:dyDescent="0.25">
      <c r="E264" s="2"/>
    </row>
    <row r="265" spans="5:5" ht="14.25" customHeight="1" x14ac:dyDescent="0.25">
      <c r="E265" s="2"/>
    </row>
    <row r="266" spans="5:5" ht="14.25" customHeight="1" x14ac:dyDescent="0.25">
      <c r="E266" s="2"/>
    </row>
    <row r="267" spans="5:5" ht="14.25" customHeight="1" x14ac:dyDescent="0.25">
      <c r="E267" s="2"/>
    </row>
    <row r="268" spans="5:5" ht="14.25" customHeight="1" x14ac:dyDescent="0.25">
      <c r="E268" s="2"/>
    </row>
    <row r="269" spans="5:5" ht="14.25" customHeight="1" x14ac:dyDescent="0.25">
      <c r="E269" s="2"/>
    </row>
    <row r="270" spans="5:5" ht="14.25" customHeight="1" x14ac:dyDescent="0.25">
      <c r="E270" s="2"/>
    </row>
    <row r="271" spans="5:5" ht="14.25" customHeight="1" x14ac:dyDescent="0.25">
      <c r="E271" s="2"/>
    </row>
    <row r="272" spans="5:5" ht="14.25" customHeight="1" x14ac:dyDescent="0.25">
      <c r="E272" s="2"/>
    </row>
    <row r="273" spans="5:5" ht="14.25" customHeight="1" x14ac:dyDescent="0.25">
      <c r="E273" s="2"/>
    </row>
    <row r="274" spans="5:5" ht="14.25" customHeight="1" x14ac:dyDescent="0.25">
      <c r="E274" s="2"/>
    </row>
    <row r="275" spans="5:5" ht="14.25" customHeight="1" x14ac:dyDescent="0.25">
      <c r="E275" s="2"/>
    </row>
    <row r="276" spans="5:5" ht="14.25" customHeight="1" x14ac:dyDescent="0.25">
      <c r="E276" s="2"/>
    </row>
    <row r="277" spans="5:5" ht="14.25" customHeight="1" x14ac:dyDescent="0.25">
      <c r="E277" s="2"/>
    </row>
    <row r="278" spans="5:5" ht="14.25" customHeight="1" x14ac:dyDescent="0.25">
      <c r="E278" s="2"/>
    </row>
    <row r="279" spans="5:5" ht="14.25" customHeight="1" x14ac:dyDescent="0.25">
      <c r="E279" s="2"/>
    </row>
    <row r="280" spans="5:5" ht="14.25" customHeight="1" x14ac:dyDescent="0.25">
      <c r="E280" s="2"/>
    </row>
    <row r="281" spans="5:5" ht="14.25" customHeight="1" x14ac:dyDescent="0.25">
      <c r="E281" s="2"/>
    </row>
    <row r="282" spans="5:5" ht="14.25" customHeight="1" x14ac:dyDescent="0.25">
      <c r="E282" s="2"/>
    </row>
    <row r="283" spans="5:5" ht="14.25" customHeight="1" x14ac:dyDescent="0.25">
      <c r="E283" s="2"/>
    </row>
    <row r="284" spans="5:5" ht="14.25" customHeight="1" x14ac:dyDescent="0.25">
      <c r="E284" s="2"/>
    </row>
    <row r="285" spans="5:5" ht="14.25" customHeight="1" x14ac:dyDescent="0.25">
      <c r="E285" s="2"/>
    </row>
    <row r="286" spans="5:5" ht="14.25" customHeight="1" x14ac:dyDescent="0.25">
      <c r="E286" s="2"/>
    </row>
    <row r="287" spans="5:5" ht="14.25" customHeight="1" x14ac:dyDescent="0.25">
      <c r="E287" s="2"/>
    </row>
    <row r="288" spans="5:5" ht="14.25" customHeight="1" x14ac:dyDescent="0.25">
      <c r="E288" s="2"/>
    </row>
    <row r="289" spans="5:5" ht="14.25" customHeight="1" x14ac:dyDescent="0.25">
      <c r="E289" s="2"/>
    </row>
    <row r="290" spans="5:5" ht="14.25" customHeight="1" x14ac:dyDescent="0.25">
      <c r="E290" s="2"/>
    </row>
    <row r="291" spans="5:5" ht="14.25" customHeight="1" x14ac:dyDescent="0.25">
      <c r="E291" s="2"/>
    </row>
    <row r="292" spans="5:5" ht="14.25" customHeight="1" x14ac:dyDescent="0.25">
      <c r="E292" s="2"/>
    </row>
    <row r="293" spans="5:5" ht="14.25" customHeight="1" x14ac:dyDescent="0.25">
      <c r="E293" s="2"/>
    </row>
    <row r="294" spans="5:5" ht="14.25" customHeight="1" x14ac:dyDescent="0.25">
      <c r="E294" s="2"/>
    </row>
    <row r="295" spans="5:5" ht="14.25" customHeight="1" x14ac:dyDescent="0.25">
      <c r="E295" s="2"/>
    </row>
    <row r="296" spans="5:5" ht="14.25" customHeight="1" x14ac:dyDescent="0.25">
      <c r="E296" s="2"/>
    </row>
    <row r="297" spans="5:5" ht="14.25" customHeight="1" x14ac:dyDescent="0.25">
      <c r="E297" s="2"/>
    </row>
    <row r="298" spans="5:5" ht="14.25" customHeight="1" x14ac:dyDescent="0.25">
      <c r="E298" s="2"/>
    </row>
    <row r="299" spans="5:5" ht="14.25" customHeight="1" x14ac:dyDescent="0.25">
      <c r="E299" s="2"/>
    </row>
    <row r="300" spans="5:5" ht="14.25" customHeight="1" x14ac:dyDescent="0.25">
      <c r="E300" s="2"/>
    </row>
    <row r="301" spans="5:5" ht="14.25" customHeight="1" x14ac:dyDescent="0.25">
      <c r="E301" s="2"/>
    </row>
    <row r="302" spans="5:5" ht="14.25" customHeight="1" x14ac:dyDescent="0.25">
      <c r="E302" s="2"/>
    </row>
    <row r="303" spans="5:5" ht="14.25" customHeight="1" x14ac:dyDescent="0.25">
      <c r="E303" s="2"/>
    </row>
    <row r="304" spans="5:5" ht="14.25" customHeight="1" x14ac:dyDescent="0.25">
      <c r="E304" s="2"/>
    </row>
    <row r="305" spans="5:5" ht="14.25" customHeight="1" x14ac:dyDescent="0.25">
      <c r="E305" s="2"/>
    </row>
    <row r="306" spans="5:5" ht="14.25" customHeight="1" x14ac:dyDescent="0.25">
      <c r="E306" s="2"/>
    </row>
    <row r="307" spans="5:5" ht="14.25" customHeight="1" x14ac:dyDescent="0.25">
      <c r="E307" s="2"/>
    </row>
    <row r="308" spans="5:5" ht="14.25" customHeight="1" x14ac:dyDescent="0.25">
      <c r="E308" s="2"/>
    </row>
    <row r="309" spans="5:5" ht="14.25" customHeight="1" x14ac:dyDescent="0.25">
      <c r="E309" s="2"/>
    </row>
    <row r="310" spans="5:5" ht="14.25" customHeight="1" x14ac:dyDescent="0.25">
      <c r="E310" s="2"/>
    </row>
    <row r="311" spans="5:5" ht="14.25" customHeight="1" x14ac:dyDescent="0.25">
      <c r="E311" s="2"/>
    </row>
    <row r="312" spans="5:5" ht="14.25" customHeight="1" x14ac:dyDescent="0.25">
      <c r="E312" s="2"/>
    </row>
    <row r="313" spans="5:5" ht="14.25" customHeight="1" x14ac:dyDescent="0.25">
      <c r="E313" s="2"/>
    </row>
    <row r="314" spans="5:5" ht="14.25" customHeight="1" x14ac:dyDescent="0.25">
      <c r="E314" s="2"/>
    </row>
    <row r="315" spans="5:5" ht="14.25" customHeight="1" x14ac:dyDescent="0.25">
      <c r="E315" s="2"/>
    </row>
    <row r="316" spans="5:5" ht="14.25" customHeight="1" x14ac:dyDescent="0.25">
      <c r="E316" s="2"/>
    </row>
    <row r="317" spans="5:5" ht="14.25" customHeight="1" x14ac:dyDescent="0.25">
      <c r="E317" s="2"/>
    </row>
    <row r="318" spans="5:5" ht="14.25" customHeight="1" x14ac:dyDescent="0.25">
      <c r="E318" s="2"/>
    </row>
    <row r="319" spans="5:5" ht="14.25" customHeight="1" x14ac:dyDescent="0.25">
      <c r="E319" s="2"/>
    </row>
    <row r="320" spans="5:5" ht="14.25" customHeight="1" x14ac:dyDescent="0.25">
      <c r="E320" s="2"/>
    </row>
    <row r="321" spans="5:5" ht="14.25" customHeight="1" x14ac:dyDescent="0.25">
      <c r="E321" s="2"/>
    </row>
    <row r="322" spans="5:5" ht="14.25" customHeight="1" x14ac:dyDescent="0.25">
      <c r="E322" s="2"/>
    </row>
    <row r="323" spans="5:5" ht="14.25" customHeight="1" x14ac:dyDescent="0.25">
      <c r="E323" s="2"/>
    </row>
    <row r="324" spans="5:5" ht="14.25" customHeight="1" x14ac:dyDescent="0.25">
      <c r="E324" s="2"/>
    </row>
    <row r="325" spans="5:5" ht="14.25" customHeight="1" x14ac:dyDescent="0.25">
      <c r="E325" s="2"/>
    </row>
    <row r="326" spans="5:5" ht="14.25" customHeight="1" x14ac:dyDescent="0.25">
      <c r="E326" s="2"/>
    </row>
    <row r="327" spans="5:5" ht="14.25" customHeight="1" x14ac:dyDescent="0.25">
      <c r="E327" s="2"/>
    </row>
    <row r="328" spans="5:5" ht="14.25" customHeight="1" x14ac:dyDescent="0.25">
      <c r="E328" s="2"/>
    </row>
    <row r="329" spans="5:5" ht="14.25" customHeight="1" x14ac:dyDescent="0.25">
      <c r="E329" s="2"/>
    </row>
    <row r="330" spans="5:5" ht="14.25" customHeight="1" x14ac:dyDescent="0.25">
      <c r="E330" s="2"/>
    </row>
    <row r="331" spans="5:5" ht="14.25" customHeight="1" x14ac:dyDescent="0.25">
      <c r="E331" s="2"/>
    </row>
    <row r="332" spans="5:5" ht="14.25" customHeight="1" x14ac:dyDescent="0.25">
      <c r="E332" s="2"/>
    </row>
    <row r="333" spans="5:5" ht="14.25" customHeight="1" x14ac:dyDescent="0.25">
      <c r="E333" s="2"/>
    </row>
    <row r="334" spans="5:5" ht="14.25" customHeight="1" x14ac:dyDescent="0.25">
      <c r="E334" s="2"/>
    </row>
    <row r="335" spans="5:5" ht="14.25" customHeight="1" x14ac:dyDescent="0.25">
      <c r="E335" s="2"/>
    </row>
    <row r="336" spans="5:5" ht="14.25" customHeight="1" x14ac:dyDescent="0.25">
      <c r="E336" s="2"/>
    </row>
    <row r="337" spans="5:5" ht="14.25" customHeight="1" x14ac:dyDescent="0.25">
      <c r="E337" s="2"/>
    </row>
    <row r="338" spans="5:5" ht="14.25" customHeight="1" x14ac:dyDescent="0.25">
      <c r="E338" s="2"/>
    </row>
    <row r="339" spans="5:5" ht="14.25" customHeight="1" x14ac:dyDescent="0.25">
      <c r="E339" s="2"/>
    </row>
    <row r="340" spans="5:5" ht="14.25" customHeight="1" x14ac:dyDescent="0.25">
      <c r="E340" s="2"/>
    </row>
    <row r="341" spans="5:5" ht="14.25" customHeight="1" x14ac:dyDescent="0.25">
      <c r="E341" s="2"/>
    </row>
    <row r="342" spans="5:5" ht="14.25" customHeight="1" x14ac:dyDescent="0.25">
      <c r="E342" s="2"/>
    </row>
    <row r="343" spans="5:5" ht="14.25" customHeight="1" x14ac:dyDescent="0.25">
      <c r="E343" s="2"/>
    </row>
    <row r="344" spans="5:5" ht="14.25" customHeight="1" x14ac:dyDescent="0.25">
      <c r="E344" s="2"/>
    </row>
    <row r="345" spans="5:5" ht="14.25" customHeight="1" x14ac:dyDescent="0.25">
      <c r="E345" s="2"/>
    </row>
    <row r="346" spans="5:5" ht="14.25" customHeight="1" x14ac:dyDescent="0.25">
      <c r="E346" s="2"/>
    </row>
    <row r="347" spans="5:5" ht="14.25" customHeight="1" x14ac:dyDescent="0.25">
      <c r="E347" s="2"/>
    </row>
    <row r="348" spans="5:5" ht="14.25" customHeight="1" x14ac:dyDescent="0.25">
      <c r="E348" s="2"/>
    </row>
    <row r="349" spans="5:5" ht="14.25" customHeight="1" x14ac:dyDescent="0.25">
      <c r="E349" s="2"/>
    </row>
    <row r="350" spans="5:5" ht="14.25" customHeight="1" x14ac:dyDescent="0.25">
      <c r="E350" s="2"/>
    </row>
    <row r="351" spans="5:5" ht="14.25" customHeight="1" x14ac:dyDescent="0.25">
      <c r="E351" s="2"/>
    </row>
    <row r="352" spans="5:5" ht="14.25" customHeight="1" x14ac:dyDescent="0.25">
      <c r="E352" s="2"/>
    </row>
    <row r="353" spans="5:5" ht="14.25" customHeight="1" x14ac:dyDescent="0.25">
      <c r="E353" s="2"/>
    </row>
    <row r="354" spans="5:5" ht="14.25" customHeight="1" x14ac:dyDescent="0.25">
      <c r="E354" s="2"/>
    </row>
    <row r="355" spans="5:5" ht="14.25" customHeight="1" x14ac:dyDescent="0.25">
      <c r="E355" s="2"/>
    </row>
    <row r="356" spans="5:5" ht="14.25" customHeight="1" x14ac:dyDescent="0.25">
      <c r="E356" s="2"/>
    </row>
    <row r="357" spans="5:5" ht="14.25" customHeight="1" x14ac:dyDescent="0.25">
      <c r="E357" s="2"/>
    </row>
    <row r="358" spans="5:5" ht="14.25" customHeight="1" x14ac:dyDescent="0.25">
      <c r="E358" s="2"/>
    </row>
    <row r="359" spans="5:5" ht="14.25" customHeight="1" x14ac:dyDescent="0.25">
      <c r="E359" s="2"/>
    </row>
    <row r="360" spans="5:5" ht="14.25" customHeight="1" x14ac:dyDescent="0.25">
      <c r="E360" s="2"/>
    </row>
    <row r="361" spans="5:5" ht="14.25" customHeight="1" x14ac:dyDescent="0.25">
      <c r="E361" s="2"/>
    </row>
    <row r="362" spans="5:5" ht="14.25" customHeight="1" x14ac:dyDescent="0.25">
      <c r="E362" s="2"/>
    </row>
    <row r="363" spans="5:5" ht="14.25" customHeight="1" x14ac:dyDescent="0.25">
      <c r="E363" s="2"/>
    </row>
    <row r="364" spans="5:5" ht="14.25" customHeight="1" x14ac:dyDescent="0.25">
      <c r="E364" s="2"/>
    </row>
    <row r="365" spans="5:5" ht="14.25" customHeight="1" x14ac:dyDescent="0.25">
      <c r="E365" s="2"/>
    </row>
    <row r="366" spans="5:5" ht="14.25" customHeight="1" x14ac:dyDescent="0.25">
      <c r="E366" s="2"/>
    </row>
    <row r="367" spans="5:5" ht="14.25" customHeight="1" x14ac:dyDescent="0.25">
      <c r="E367" s="2"/>
    </row>
    <row r="368" spans="5:5" ht="14.25" customHeight="1" x14ac:dyDescent="0.25">
      <c r="E368" s="2"/>
    </row>
    <row r="369" spans="5:5" ht="14.25" customHeight="1" x14ac:dyDescent="0.25">
      <c r="E369" s="2"/>
    </row>
    <row r="370" spans="5:5" ht="14.25" customHeight="1" x14ac:dyDescent="0.25">
      <c r="E370" s="2"/>
    </row>
    <row r="371" spans="5:5" ht="14.25" customHeight="1" x14ac:dyDescent="0.25">
      <c r="E371" s="2"/>
    </row>
    <row r="372" spans="5:5" ht="14.25" customHeight="1" x14ac:dyDescent="0.25">
      <c r="E372" s="2"/>
    </row>
    <row r="373" spans="5:5" ht="14.25" customHeight="1" x14ac:dyDescent="0.25">
      <c r="E373" s="2"/>
    </row>
    <row r="374" spans="5:5" ht="14.25" customHeight="1" x14ac:dyDescent="0.25">
      <c r="E374" s="2"/>
    </row>
    <row r="375" spans="5:5" ht="14.25" customHeight="1" x14ac:dyDescent="0.25">
      <c r="E375" s="2"/>
    </row>
    <row r="376" spans="5:5" ht="14.25" customHeight="1" x14ac:dyDescent="0.25">
      <c r="E376" s="2"/>
    </row>
    <row r="377" spans="5:5" ht="14.25" customHeight="1" x14ac:dyDescent="0.25">
      <c r="E377" s="2"/>
    </row>
    <row r="378" spans="5:5" ht="14.25" customHeight="1" x14ac:dyDescent="0.25">
      <c r="E378" s="2"/>
    </row>
    <row r="379" spans="5:5" ht="14.25" customHeight="1" x14ac:dyDescent="0.25">
      <c r="E379" s="2"/>
    </row>
    <row r="380" spans="5:5" ht="14.25" customHeight="1" x14ac:dyDescent="0.25">
      <c r="E380" s="2"/>
    </row>
    <row r="381" spans="5:5" ht="14.25" customHeight="1" x14ac:dyDescent="0.25">
      <c r="E381" s="2"/>
    </row>
    <row r="382" spans="5:5" ht="14.25" customHeight="1" x14ac:dyDescent="0.25">
      <c r="E382" s="2"/>
    </row>
    <row r="383" spans="5:5" ht="14.25" customHeight="1" x14ac:dyDescent="0.25">
      <c r="E383" s="2"/>
    </row>
    <row r="384" spans="5:5" ht="14.25" customHeight="1" x14ac:dyDescent="0.25">
      <c r="E384" s="2"/>
    </row>
    <row r="385" spans="5:5" ht="14.25" customHeight="1" x14ac:dyDescent="0.25">
      <c r="E385" s="2"/>
    </row>
    <row r="386" spans="5:5" ht="14.25" customHeight="1" x14ac:dyDescent="0.25">
      <c r="E386" s="2"/>
    </row>
    <row r="387" spans="5:5" ht="14.25" customHeight="1" x14ac:dyDescent="0.25">
      <c r="E387" s="2"/>
    </row>
    <row r="388" spans="5:5" ht="14.25" customHeight="1" x14ac:dyDescent="0.25">
      <c r="E388" s="2"/>
    </row>
    <row r="389" spans="5:5" ht="14.25" customHeight="1" x14ac:dyDescent="0.25">
      <c r="E389" s="2"/>
    </row>
    <row r="390" spans="5:5" ht="14.25" customHeight="1" x14ac:dyDescent="0.25">
      <c r="E390" s="2"/>
    </row>
    <row r="391" spans="5:5" ht="14.25" customHeight="1" x14ac:dyDescent="0.25">
      <c r="E391" s="2"/>
    </row>
    <row r="392" spans="5:5" ht="14.25" customHeight="1" x14ac:dyDescent="0.25">
      <c r="E392" s="2"/>
    </row>
    <row r="393" spans="5:5" ht="14.25" customHeight="1" x14ac:dyDescent="0.25">
      <c r="E393" s="2"/>
    </row>
    <row r="394" spans="5:5" ht="14.25" customHeight="1" x14ac:dyDescent="0.25">
      <c r="E394" s="2"/>
    </row>
    <row r="395" spans="5:5" ht="14.25" customHeight="1" x14ac:dyDescent="0.25">
      <c r="E395" s="2"/>
    </row>
    <row r="396" spans="5:5" ht="14.25" customHeight="1" x14ac:dyDescent="0.25">
      <c r="E396" s="2"/>
    </row>
    <row r="397" spans="5:5" ht="14.25" customHeight="1" x14ac:dyDescent="0.25">
      <c r="E397" s="2"/>
    </row>
    <row r="398" spans="5:5" ht="14.25" customHeight="1" x14ac:dyDescent="0.25">
      <c r="E398" s="2"/>
    </row>
    <row r="399" spans="5:5" ht="14.25" customHeight="1" x14ac:dyDescent="0.25">
      <c r="E399" s="2"/>
    </row>
    <row r="400" spans="5:5" ht="14.25" customHeight="1" x14ac:dyDescent="0.25">
      <c r="E400" s="2"/>
    </row>
    <row r="401" spans="5:5" ht="14.25" customHeight="1" x14ac:dyDescent="0.25">
      <c r="E401" s="2"/>
    </row>
    <row r="402" spans="5:5" ht="14.25" customHeight="1" x14ac:dyDescent="0.25">
      <c r="E402" s="2"/>
    </row>
    <row r="403" spans="5:5" ht="14.25" customHeight="1" x14ac:dyDescent="0.25">
      <c r="E403" s="2"/>
    </row>
    <row r="404" spans="5:5" ht="14.25" customHeight="1" x14ac:dyDescent="0.25">
      <c r="E404" s="2"/>
    </row>
    <row r="405" spans="5:5" ht="14.25" customHeight="1" x14ac:dyDescent="0.25">
      <c r="E405" s="2"/>
    </row>
    <row r="406" spans="5:5" ht="14.25" customHeight="1" x14ac:dyDescent="0.25">
      <c r="E406" s="2"/>
    </row>
    <row r="407" spans="5:5" ht="14.25" customHeight="1" x14ac:dyDescent="0.25">
      <c r="E407" s="2"/>
    </row>
    <row r="408" spans="5:5" ht="14.25" customHeight="1" x14ac:dyDescent="0.25">
      <c r="E408" s="2"/>
    </row>
    <row r="409" spans="5:5" ht="14.25" customHeight="1" x14ac:dyDescent="0.25">
      <c r="E409" s="2"/>
    </row>
    <row r="410" spans="5:5" ht="14.25" customHeight="1" x14ac:dyDescent="0.25">
      <c r="E410" s="2"/>
    </row>
    <row r="411" spans="5:5" ht="14.25" customHeight="1" x14ac:dyDescent="0.25">
      <c r="E411" s="2"/>
    </row>
    <row r="412" spans="5:5" ht="14.25" customHeight="1" x14ac:dyDescent="0.25">
      <c r="E412" s="2"/>
    </row>
    <row r="413" spans="5:5" ht="14.25" customHeight="1" x14ac:dyDescent="0.25">
      <c r="E413" s="2"/>
    </row>
    <row r="414" spans="5:5" ht="14.25" customHeight="1" x14ac:dyDescent="0.25">
      <c r="E414" s="2"/>
    </row>
    <row r="415" spans="5:5" ht="14.25" customHeight="1" x14ac:dyDescent="0.25">
      <c r="E415" s="2"/>
    </row>
    <row r="416" spans="5:5" ht="14.25" customHeight="1" x14ac:dyDescent="0.25">
      <c r="E416" s="2"/>
    </row>
    <row r="417" spans="5:5" ht="14.25" customHeight="1" x14ac:dyDescent="0.25">
      <c r="E417" s="2"/>
    </row>
    <row r="418" spans="5:5" ht="14.25" customHeight="1" x14ac:dyDescent="0.25">
      <c r="E418" s="2"/>
    </row>
    <row r="419" spans="5:5" ht="14.25" customHeight="1" x14ac:dyDescent="0.25">
      <c r="E419" s="2"/>
    </row>
    <row r="420" spans="5:5" ht="14.25" customHeight="1" x14ac:dyDescent="0.25">
      <c r="E420" s="2"/>
    </row>
    <row r="421" spans="5:5" ht="14.25" customHeight="1" x14ac:dyDescent="0.25">
      <c r="E421" s="2"/>
    </row>
    <row r="422" spans="5:5" ht="14.25" customHeight="1" x14ac:dyDescent="0.25">
      <c r="E422" s="2"/>
    </row>
    <row r="423" spans="5:5" ht="14.25" customHeight="1" x14ac:dyDescent="0.25">
      <c r="E423" s="2"/>
    </row>
    <row r="424" spans="5:5" ht="14.25" customHeight="1" x14ac:dyDescent="0.25">
      <c r="E424" s="2"/>
    </row>
    <row r="425" spans="5:5" ht="14.25" customHeight="1" x14ac:dyDescent="0.25">
      <c r="E425" s="2"/>
    </row>
    <row r="426" spans="5:5" ht="14.25" customHeight="1" x14ac:dyDescent="0.25">
      <c r="E426" s="2"/>
    </row>
    <row r="427" spans="5:5" ht="14.25" customHeight="1" x14ac:dyDescent="0.25">
      <c r="E427" s="2"/>
    </row>
    <row r="428" spans="5:5" ht="14.25" customHeight="1" x14ac:dyDescent="0.25">
      <c r="E428" s="2"/>
    </row>
    <row r="429" spans="5:5" ht="14.25" customHeight="1" x14ac:dyDescent="0.25">
      <c r="E429" s="2"/>
    </row>
    <row r="430" spans="5:5" ht="14.25" customHeight="1" x14ac:dyDescent="0.25">
      <c r="E430" s="2"/>
    </row>
    <row r="431" spans="5:5" ht="14.25" customHeight="1" x14ac:dyDescent="0.25">
      <c r="E431" s="2"/>
    </row>
    <row r="432" spans="5:5" ht="14.25" customHeight="1" x14ac:dyDescent="0.25">
      <c r="E432" s="2"/>
    </row>
    <row r="433" spans="5:5" ht="14.25" customHeight="1" x14ac:dyDescent="0.25">
      <c r="E433" s="2"/>
    </row>
    <row r="434" spans="5:5" ht="14.25" customHeight="1" x14ac:dyDescent="0.25">
      <c r="E434" s="2"/>
    </row>
    <row r="435" spans="5:5" ht="14.25" customHeight="1" x14ac:dyDescent="0.25">
      <c r="E435" s="2"/>
    </row>
    <row r="436" spans="5:5" ht="14.25" customHeight="1" x14ac:dyDescent="0.25">
      <c r="E436" s="2"/>
    </row>
    <row r="437" spans="5:5" ht="14.25" customHeight="1" x14ac:dyDescent="0.25">
      <c r="E437" s="2"/>
    </row>
    <row r="438" spans="5:5" ht="14.25" customHeight="1" x14ac:dyDescent="0.25">
      <c r="E438" s="2"/>
    </row>
    <row r="439" spans="5:5" ht="14.25" customHeight="1" x14ac:dyDescent="0.25">
      <c r="E439" s="2"/>
    </row>
    <row r="440" spans="5:5" ht="14.25" customHeight="1" x14ac:dyDescent="0.25">
      <c r="E440" s="2"/>
    </row>
    <row r="441" spans="5:5" ht="14.25" customHeight="1" x14ac:dyDescent="0.25">
      <c r="E441" s="2"/>
    </row>
    <row r="442" spans="5:5" ht="14.25" customHeight="1" x14ac:dyDescent="0.25">
      <c r="E442" s="2"/>
    </row>
    <row r="443" spans="5:5" ht="14.25" customHeight="1" x14ac:dyDescent="0.25">
      <c r="E443" s="2"/>
    </row>
    <row r="444" spans="5:5" ht="14.25" customHeight="1" x14ac:dyDescent="0.25">
      <c r="E444" s="2"/>
    </row>
    <row r="445" spans="5:5" ht="14.25" customHeight="1" x14ac:dyDescent="0.25">
      <c r="E445" s="2"/>
    </row>
    <row r="446" spans="5:5" ht="14.25" customHeight="1" x14ac:dyDescent="0.25">
      <c r="E446" s="2"/>
    </row>
    <row r="447" spans="5:5" ht="14.25" customHeight="1" x14ac:dyDescent="0.25">
      <c r="E447" s="2"/>
    </row>
    <row r="448" spans="5:5" ht="14.25" customHeight="1" x14ac:dyDescent="0.25">
      <c r="E448" s="2"/>
    </row>
    <row r="449" spans="5:5" ht="14.25" customHeight="1" x14ac:dyDescent="0.25">
      <c r="E449" s="2"/>
    </row>
    <row r="450" spans="5:5" ht="14.25" customHeight="1" x14ac:dyDescent="0.25">
      <c r="E450" s="2"/>
    </row>
    <row r="451" spans="5:5" ht="14.25" customHeight="1" x14ac:dyDescent="0.25">
      <c r="E451" s="2"/>
    </row>
    <row r="452" spans="5:5" ht="14.25" customHeight="1" x14ac:dyDescent="0.25">
      <c r="E452" s="2"/>
    </row>
    <row r="453" spans="5:5" ht="14.25" customHeight="1" x14ac:dyDescent="0.25">
      <c r="E453" s="2"/>
    </row>
    <row r="454" spans="5:5" ht="14.25" customHeight="1" x14ac:dyDescent="0.25">
      <c r="E454" s="2"/>
    </row>
    <row r="455" spans="5:5" ht="14.25" customHeight="1" x14ac:dyDescent="0.25">
      <c r="E455" s="2"/>
    </row>
    <row r="456" spans="5:5" ht="14.25" customHeight="1" x14ac:dyDescent="0.25">
      <c r="E456" s="2"/>
    </row>
    <row r="457" spans="5:5" ht="14.25" customHeight="1" x14ac:dyDescent="0.25">
      <c r="E457" s="2"/>
    </row>
    <row r="458" spans="5:5" ht="14.25" customHeight="1" x14ac:dyDescent="0.25">
      <c r="E458" s="2"/>
    </row>
    <row r="459" spans="5:5" ht="14.25" customHeight="1" x14ac:dyDescent="0.25">
      <c r="E459" s="2"/>
    </row>
    <row r="460" spans="5:5" ht="14.25" customHeight="1" x14ac:dyDescent="0.25">
      <c r="E460" s="2"/>
    </row>
    <row r="461" spans="5:5" ht="14.25" customHeight="1" x14ac:dyDescent="0.25">
      <c r="E461" s="2"/>
    </row>
    <row r="462" spans="5:5" ht="14.25" customHeight="1" x14ac:dyDescent="0.25">
      <c r="E462" s="2"/>
    </row>
    <row r="463" spans="5:5" ht="14.25" customHeight="1" x14ac:dyDescent="0.25">
      <c r="E463" s="2"/>
    </row>
    <row r="464" spans="5:5" ht="14.25" customHeight="1" x14ac:dyDescent="0.25">
      <c r="E464" s="2"/>
    </row>
    <row r="465" spans="5:5" ht="14.25" customHeight="1" x14ac:dyDescent="0.25">
      <c r="E465" s="2"/>
    </row>
    <row r="466" spans="5:5" ht="14.25" customHeight="1" x14ac:dyDescent="0.25">
      <c r="E466" s="2"/>
    </row>
    <row r="467" spans="5:5" ht="14.25" customHeight="1" x14ac:dyDescent="0.25">
      <c r="E467" s="2"/>
    </row>
    <row r="468" spans="5:5" ht="14.25" customHeight="1" x14ac:dyDescent="0.25">
      <c r="E468" s="2"/>
    </row>
    <row r="469" spans="5:5" ht="14.25" customHeight="1" x14ac:dyDescent="0.25">
      <c r="E469" s="2"/>
    </row>
    <row r="470" spans="5:5" ht="14.25" customHeight="1" x14ac:dyDescent="0.25">
      <c r="E470" s="2"/>
    </row>
    <row r="471" spans="5:5" ht="14.25" customHeight="1" x14ac:dyDescent="0.25">
      <c r="E471" s="2"/>
    </row>
    <row r="472" spans="5:5" ht="14.25" customHeight="1" x14ac:dyDescent="0.25">
      <c r="E472" s="2"/>
    </row>
    <row r="473" spans="5:5" ht="14.25" customHeight="1" x14ac:dyDescent="0.25">
      <c r="E473" s="2"/>
    </row>
    <row r="474" spans="5:5" ht="14.25" customHeight="1" x14ac:dyDescent="0.25">
      <c r="E474" s="2"/>
    </row>
    <row r="475" spans="5:5" ht="14.25" customHeight="1" x14ac:dyDescent="0.25">
      <c r="E475" s="2"/>
    </row>
    <row r="476" spans="5:5" ht="14.25" customHeight="1" x14ac:dyDescent="0.25">
      <c r="E476" s="2"/>
    </row>
    <row r="477" spans="5:5" ht="14.25" customHeight="1" x14ac:dyDescent="0.25">
      <c r="E477" s="2"/>
    </row>
    <row r="478" spans="5:5" ht="14.25" customHeight="1" x14ac:dyDescent="0.25">
      <c r="E478" s="2"/>
    </row>
    <row r="479" spans="5:5" ht="14.25" customHeight="1" x14ac:dyDescent="0.25">
      <c r="E479" s="2"/>
    </row>
    <row r="480" spans="5:5" ht="14.25" customHeight="1" x14ac:dyDescent="0.25">
      <c r="E480" s="2"/>
    </row>
    <row r="481" spans="5:5" ht="14.25" customHeight="1" x14ac:dyDescent="0.25">
      <c r="E481" s="2"/>
    </row>
    <row r="482" spans="5:5" ht="14.25" customHeight="1" x14ac:dyDescent="0.25">
      <c r="E482" s="2"/>
    </row>
    <row r="483" spans="5:5" ht="14.25" customHeight="1" x14ac:dyDescent="0.25">
      <c r="E483" s="2"/>
    </row>
    <row r="484" spans="5:5" ht="14.25" customHeight="1" x14ac:dyDescent="0.25">
      <c r="E484" s="2"/>
    </row>
    <row r="485" spans="5:5" ht="14.25" customHeight="1" x14ac:dyDescent="0.25">
      <c r="E485" s="2"/>
    </row>
    <row r="486" spans="5:5" ht="14.25" customHeight="1" x14ac:dyDescent="0.25">
      <c r="E486" s="2"/>
    </row>
    <row r="487" spans="5:5" ht="14.25" customHeight="1" x14ac:dyDescent="0.25">
      <c r="E487" s="2"/>
    </row>
    <row r="488" spans="5:5" ht="14.25" customHeight="1" x14ac:dyDescent="0.25">
      <c r="E488" s="2"/>
    </row>
    <row r="489" spans="5:5" ht="14.25" customHeight="1" x14ac:dyDescent="0.25">
      <c r="E489" s="2"/>
    </row>
    <row r="490" spans="5:5" ht="14.25" customHeight="1" x14ac:dyDescent="0.25">
      <c r="E490" s="2"/>
    </row>
    <row r="491" spans="5:5" ht="14.25" customHeight="1" x14ac:dyDescent="0.25">
      <c r="E491" s="2"/>
    </row>
    <row r="492" spans="5:5" ht="14.25" customHeight="1" x14ac:dyDescent="0.25">
      <c r="E492" s="2"/>
    </row>
    <row r="493" spans="5:5" ht="14.25" customHeight="1" x14ac:dyDescent="0.25">
      <c r="E493" s="2"/>
    </row>
    <row r="494" spans="5:5" ht="14.25" customHeight="1" x14ac:dyDescent="0.25">
      <c r="E494" s="2"/>
    </row>
    <row r="495" spans="5:5" ht="14.25" customHeight="1" x14ac:dyDescent="0.25">
      <c r="E495" s="2"/>
    </row>
    <row r="496" spans="5:5" ht="14.25" customHeight="1" x14ac:dyDescent="0.25">
      <c r="E496" s="2"/>
    </row>
    <row r="497" spans="5:5" ht="14.25" customHeight="1" x14ac:dyDescent="0.25">
      <c r="E497" s="2"/>
    </row>
    <row r="498" spans="5:5" ht="14.25" customHeight="1" x14ac:dyDescent="0.25">
      <c r="E498" s="2"/>
    </row>
    <row r="499" spans="5:5" ht="14.25" customHeight="1" x14ac:dyDescent="0.25">
      <c r="E499" s="2"/>
    </row>
    <row r="500" spans="5:5" ht="14.25" customHeight="1" x14ac:dyDescent="0.25">
      <c r="E500" s="2"/>
    </row>
    <row r="501" spans="5:5" ht="14.25" customHeight="1" x14ac:dyDescent="0.25">
      <c r="E501" s="2"/>
    </row>
    <row r="502" spans="5:5" ht="14.25" customHeight="1" x14ac:dyDescent="0.25">
      <c r="E502" s="2"/>
    </row>
    <row r="503" spans="5:5" ht="14.25" customHeight="1" x14ac:dyDescent="0.25">
      <c r="E503" s="2"/>
    </row>
    <row r="504" spans="5:5" ht="14.25" customHeight="1" x14ac:dyDescent="0.25">
      <c r="E504" s="2"/>
    </row>
    <row r="505" spans="5:5" ht="14.25" customHeight="1" x14ac:dyDescent="0.25">
      <c r="E505" s="2"/>
    </row>
    <row r="506" spans="5:5" ht="14.25" customHeight="1" x14ac:dyDescent="0.25">
      <c r="E506" s="2"/>
    </row>
    <row r="507" spans="5:5" ht="14.25" customHeight="1" x14ac:dyDescent="0.25">
      <c r="E507" s="2"/>
    </row>
    <row r="508" spans="5:5" ht="14.25" customHeight="1" x14ac:dyDescent="0.25">
      <c r="E508" s="2"/>
    </row>
    <row r="509" spans="5:5" ht="14.25" customHeight="1" x14ac:dyDescent="0.25">
      <c r="E509" s="2"/>
    </row>
    <row r="510" spans="5:5" ht="14.25" customHeight="1" x14ac:dyDescent="0.25">
      <c r="E510" s="2"/>
    </row>
    <row r="511" spans="5:5" ht="14.25" customHeight="1" x14ac:dyDescent="0.25">
      <c r="E511" s="2"/>
    </row>
    <row r="512" spans="5:5" ht="14.25" customHeight="1" x14ac:dyDescent="0.25">
      <c r="E512" s="2"/>
    </row>
    <row r="513" spans="5:5" ht="14.25" customHeight="1" x14ac:dyDescent="0.25">
      <c r="E513" s="2"/>
    </row>
    <row r="514" spans="5:5" ht="14.25" customHeight="1" x14ac:dyDescent="0.25">
      <c r="E514" s="2"/>
    </row>
    <row r="515" spans="5:5" ht="14.25" customHeight="1" x14ac:dyDescent="0.25">
      <c r="E515" s="2"/>
    </row>
    <row r="516" spans="5:5" ht="14.25" customHeight="1" x14ac:dyDescent="0.25">
      <c r="E516" s="2"/>
    </row>
    <row r="517" spans="5:5" ht="14.25" customHeight="1" x14ac:dyDescent="0.25">
      <c r="E517" s="2"/>
    </row>
    <row r="518" spans="5:5" ht="14.25" customHeight="1" x14ac:dyDescent="0.25">
      <c r="E518" s="2"/>
    </row>
    <row r="519" spans="5:5" ht="14.25" customHeight="1" x14ac:dyDescent="0.25">
      <c r="E519" s="2"/>
    </row>
    <row r="520" spans="5:5" ht="14.25" customHeight="1" x14ac:dyDescent="0.25">
      <c r="E520" s="2"/>
    </row>
    <row r="521" spans="5:5" ht="14.25" customHeight="1" x14ac:dyDescent="0.25">
      <c r="E521" s="2"/>
    </row>
    <row r="522" spans="5:5" ht="14.25" customHeight="1" x14ac:dyDescent="0.25">
      <c r="E522" s="2"/>
    </row>
    <row r="523" spans="5:5" ht="14.25" customHeight="1" x14ac:dyDescent="0.25">
      <c r="E523" s="2"/>
    </row>
    <row r="524" spans="5:5" ht="14.25" customHeight="1" x14ac:dyDescent="0.25">
      <c r="E524" s="2"/>
    </row>
    <row r="525" spans="5:5" ht="14.25" customHeight="1" x14ac:dyDescent="0.25">
      <c r="E525" s="2"/>
    </row>
    <row r="526" spans="5:5" ht="14.25" customHeight="1" x14ac:dyDescent="0.25">
      <c r="E526" s="2"/>
    </row>
    <row r="527" spans="5:5" ht="14.25" customHeight="1" x14ac:dyDescent="0.25">
      <c r="E527" s="2"/>
    </row>
    <row r="528" spans="5:5" ht="14.25" customHeight="1" x14ac:dyDescent="0.25">
      <c r="E528" s="2"/>
    </row>
    <row r="529" spans="5:5" ht="14.25" customHeight="1" x14ac:dyDescent="0.25">
      <c r="E529" s="2"/>
    </row>
    <row r="530" spans="5:5" ht="14.25" customHeight="1" x14ac:dyDescent="0.25">
      <c r="E530" s="2"/>
    </row>
    <row r="531" spans="5:5" ht="14.25" customHeight="1" x14ac:dyDescent="0.25">
      <c r="E531" s="2"/>
    </row>
    <row r="532" spans="5:5" ht="14.25" customHeight="1" x14ac:dyDescent="0.25">
      <c r="E532" s="2"/>
    </row>
    <row r="533" spans="5:5" ht="14.25" customHeight="1" x14ac:dyDescent="0.25">
      <c r="E533" s="2"/>
    </row>
    <row r="534" spans="5:5" ht="14.25" customHeight="1" x14ac:dyDescent="0.25">
      <c r="E534" s="2"/>
    </row>
    <row r="535" spans="5:5" ht="14.25" customHeight="1" x14ac:dyDescent="0.25">
      <c r="E535" s="2"/>
    </row>
    <row r="536" spans="5:5" ht="14.25" customHeight="1" x14ac:dyDescent="0.25">
      <c r="E536" s="2"/>
    </row>
    <row r="537" spans="5:5" ht="14.25" customHeight="1" x14ac:dyDescent="0.25">
      <c r="E537" s="2"/>
    </row>
    <row r="538" spans="5:5" ht="14.25" customHeight="1" x14ac:dyDescent="0.25">
      <c r="E538" s="2"/>
    </row>
    <row r="539" spans="5:5" ht="14.25" customHeight="1" x14ac:dyDescent="0.25">
      <c r="E539" s="2"/>
    </row>
    <row r="540" spans="5:5" ht="14.25" customHeight="1" x14ac:dyDescent="0.25">
      <c r="E540" s="2"/>
    </row>
    <row r="541" spans="5:5" ht="14.25" customHeight="1" x14ac:dyDescent="0.25">
      <c r="E541" s="2"/>
    </row>
    <row r="542" spans="5:5" ht="14.25" customHeight="1" x14ac:dyDescent="0.25">
      <c r="E542" s="2"/>
    </row>
    <row r="543" spans="5:5" ht="14.25" customHeight="1" x14ac:dyDescent="0.25">
      <c r="E543" s="2"/>
    </row>
    <row r="544" spans="5:5" ht="14.25" customHeight="1" x14ac:dyDescent="0.25">
      <c r="E544" s="2"/>
    </row>
    <row r="545" spans="5:5" ht="14.25" customHeight="1" x14ac:dyDescent="0.25">
      <c r="E545" s="2"/>
    </row>
    <row r="546" spans="5:5" ht="14.25" customHeight="1" x14ac:dyDescent="0.25">
      <c r="E546" s="2"/>
    </row>
    <row r="547" spans="5:5" ht="14.25" customHeight="1" x14ac:dyDescent="0.25">
      <c r="E547" s="2"/>
    </row>
    <row r="548" spans="5:5" ht="14.25" customHeight="1" x14ac:dyDescent="0.25">
      <c r="E548" s="2"/>
    </row>
    <row r="549" spans="5:5" ht="14.25" customHeight="1" x14ac:dyDescent="0.25">
      <c r="E549" s="2"/>
    </row>
    <row r="550" spans="5:5" ht="14.25" customHeight="1" x14ac:dyDescent="0.25">
      <c r="E550" s="2"/>
    </row>
    <row r="551" spans="5:5" ht="14.25" customHeight="1" x14ac:dyDescent="0.25">
      <c r="E551" s="2"/>
    </row>
    <row r="552" spans="5:5" ht="14.25" customHeight="1" x14ac:dyDescent="0.25">
      <c r="E552" s="2"/>
    </row>
    <row r="553" spans="5:5" ht="14.25" customHeight="1" x14ac:dyDescent="0.25">
      <c r="E553" s="2"/>
    </row>
    <row r="554" spans="5:5" ht="14.25" customHeight="1" x14ac:dyDescent="0.25">
      <c r="E554" s="2"/>
    </row>
    <row r="555" spans="5:5" ht="14.25" customHeight="1" x14ac:dyDescent="0.25">
      <c r="E555" s="2"/>
    </row>
    <row r="556" spans="5:5" ht="14.25" customHeight="1" x14ac:dyDescent="0.25">
      <c r="E556" s="2"/>
    </row>
    <row r="557" spans="5:5" ht="14.25" customHeight="1" x14ac:dyDescent="0.25">
      <c r="E557" s="2"/>
    </row>
    <row r="558" spans="5:5" ht="14.25" customHeight="1" x14ac:dyDescent="0.25">
      <c r="E558" s="2"/>
    </row>
    <row r="559" spans="5:5" ht="14.25" customHeight="1" x14ac:dyDescent="0.25">
      <c r="E559" s="2"/>
    </row>
    <row r="560" spans="5:5" ht="14.25" customHeight="1" x14ac:dyDescent="0.25">
      <c r="E560" s="2"/>
    </row>
    <row r="561" spans="5:5" ht="14.25" customHeight="1" x14ac:dyDescent="0.25">
      <c r="E561" s="2"/>
    </row>
    <row r="562" spans="5:5" ht="14.25" customHeight="1" x14ac:dyDescent="0.25">
      <c r="E562" s="2"/>
    </row>
    <row r="563" spans="5:5" ht="14.25" customHeight="1" x14ac:dyDescent="0.25">
      <c r="E563" s="2"/>
    </row>
    <row r="564" spans="5:5" ht="14.25" customHeight="1" x14ac:dyDescent="0.25">
      <c r="E564" s="2"/>
    </row>
    <row r="565" spans="5:5" ht="14.25" customHeight="1" x14ac:dyDescent="0.25">
      <c r="E565" s="2"/>
    </row>
    <row r="566" spans="5:5" ht="14.25" customHeight="1" x14ac:dyDescent="0.25">
      <c r="E566" s="2"/>
    </row>
    <row r="567" spans="5:5" ht="14.25" customHeight="1" x14ac:dyDescent="0.25">
      <c r="E567" s="2"/>
    </row>
    <row r="568" spans="5:5" ht="14.25" customHeight="1" x14ac:dyDescent="0.25">
      <c r="E568" s="2"/>
    </row>
    <row r="569" spans="5:5" ht="14.25" customHeight="1" x14ac:dyDescent="0.25">
      <c r="E569" s="2"/>
    </row>
    <row r="570" spans="5:5" ht="14.25" customHeight="1" x14ac:dyDescent="0.25">
      <c r="E570" s="2"/>
    </row>
    <row r="571" spans="5:5" ht="14.25" customHeight="1" x14ac:dyDescent="0.25">
      <c r="E571" s="2"/>
    </row>
    <row r="572" spans="5:5" ht="14.25" customHeight="1" x14ac:dyDescent="0.25">
      <c r="E572" s="2"/>
    </row>
    <row r="573" spans="5:5" ht="14.25" customHeight="1" x14ac:dyDescent="0.25">
      <c r="E573" s="2"/>
    </row>
    <row r="574" spans="5:5" ht="14.25" customHeight="1" x14ac:dyDescent="0.25">
      <c r="E574" s="2"/>
    </row>
    <row r="575" spans="5:5" ht="14.25" customHeight="1" x14ac:dyDescent="0.25">
      <c r="E575" s="2"/>
    </row>
    <row r="576" spans="5:5" ht="14.25" customHeight="1" x14ac:dyDescent="0.25">
      <c r="E576" s="2"/>
    </row>
    <row r="577" spans="5:5" ht="14.25" customHeight="1" x14ac:dyDescent="0.25">
      <c r="E577" s="2"/>
    </row>
    <row r="578" spans="5:5" ht="14.25" customHeight="1" x14ac:dyDescent="0.25">
      <c r="E578" s="2"/>
    </row>
    <row r="579" spans="5:5" ht="14.25" customHeight="1" x14ac:dyDescent="0.25">
      <c r="E579" s="2"/>
    </row>
    <row r="580" spans="5:5" ht="14.25" customHeight="1" x14ac:dyDescent="0.25">
      <c r="E580" s="2"/>
    </row>
    <row r="581" spans="5:5" ht="14.25" customHeight="1" x14ac:dyDescent="0.25">
      <c r="E581" s="2"/>
    </row>
    <row r="582" spans="5:5" ht="14.25" customHeight="1" x14ac:dyDescent="0.25">
      <c r="E582" s="2"/>
    </row>
    <row r="583" spans="5:5" ht="14.25" customHeight="1" x14ac:dyDescent="0.25">
      <c r="E583" s="2"/>
    </row>
    <row r="584" spans="5:5" ht="14.25" customHeight="1" x14ac:dyDescent="0.25">
      <c r="E584" s="2"/>
    </row>
    <row r="585" spans="5:5" ht="14.25" customHeight="1" x14ac:dyDescent="0.25">
      <c r="E585" s="2"/>
    </row>
    <row r="586" spans="5:5" ht="14.25" customHeight="1" x14ac:dyDescent="0.25">
      <c r="E586" s="2"/>
    </row>
    <row r="587" spans="5:5" ht="14.25" customHeight="1" x14ac:dyDescent="0.25">
      <c r="E587" s="2"/>
    </row>
    <row r="588" spans="5:5" ht="14.25" customHeight="1" x14ac:dyDescent="0.25">
      <c r="E588" s="2"/>
    </row>
    <row r="589" spans="5:5" ht="14.25" customHeight="1" x14ac:dyDescent="0.25">
      <c r="E589" s="2"/>
    </row>
    <row r="590" spans="5:5" ht="14.25" customHeight="1" x14ac:dyDescent="0.25">
      <c r="E590" s="2"/>
    </row>
    <row r="591" spans="5:5" ht="14.25" customHeight="1" x14ac:dyDescent="0.25">
      <c r="E591" s="2"/>
    </row>
    <row r="592" spans="5:5" ht="14.25" customHeight="1" x14ac:dyDescent="0.25">
      <c r="E592" s="2"/>
    </row>
    <row r="593" spans="5:5" ht="14.25" customHeight="1" x14ac:dyDescent="0.25">
      <c r="E593" s="2"/>
    </row>
    <row r="594" spans="5:5" ht="14.25" customHeight="1" x14ac:dyDescent="0.25">
      <c r="E594" s="2"/>
    </row>
    <row r="595" spans="5:5" ht="14.25" customHeight="1" x14ac:dyDescent="0.25">
      <c r="E595" s="2"/>
    </row>
    <row r="596" spans="5:5" ht="14.25" customHeight="1" x14ac:dyDescent="0.25">
      <c r="E596" s="2"/>
    </row>
    <row r="597" spans="5:5" ht="14.25" customHeight="1" x14ac:dyDescent="0.25">
      <c r="E597" s="2"/>
    </row>
    <row r="598" spans="5:5" ht="14.25" customHeight="1" x14ac:dyDescent="0.25">
      <c r="E598" s="2"/>
    </row>
    <row r="599" spans="5:5" ht="14.25" customHeight="1" x14ac:dyDescent="0.25">
      <c r="E599" s="2"/>
    </row>
    <row r="600" spans="5:5" ht="14.25" customHeight="1" x14ac:dyDescent="0.25">
      <c r="E600" s="2"/>
    </row>
    <row r="601" spans="5:5" ht="14.25" customHeight="1" x14ac:dyDescent="0.25">
      <c r="E601" s="2"/>
    </row>
    <row r="602" spans="5:5" ht="14.25" customHeight="1" x14ac:dyDescent="0.25">
      <c r="E602" s="2"/>
    </row>
    <row r="603" spans="5:5" ht="14.25" customHeight="1" x14ac:dyDescent="0.25">
      <c r="E603" s="2"/>
    </row>
    <row r="604" spans="5:5" ht="14.25" customHeight="1" x14ac:dyDescent="0.25">
      <c r="E604" s="2"/>
    </row>
    <row r="605" spans="5:5" ht="14.25" customHeight="1" x14ac:dyDescent="0.25">
      <c r="E605" s="2"/>
    </row>
    <row r="606" spans="5:5" ht="14.25" customHeight="1" x14ac:dyDescent="0.25">
      <c r="E606" s="2"/>
    </row>
    <row r="607" spans="5:5" ht="14.25" customHeight="1" x14ac:dyDescent="0.25">
      <c r="E607" s="2"/>
    </row>
    <row r="608" spans="5:5" ht="14.25" customHeight="1" x14ac:dyDescent="0.25">
      <c r="E608" s="2"/>
    </row>
    <row r="609" spans="5:5" ht="14.25" customHeight="1" x14ac:dyDescent="0.25">
      <c r="E609" s="2"/>
    </row>
    <row r="610" spans="5:5" ht="14.25" customHeight="1" x14ac:dyDescent="0.25">
      <c r="E610" s="2"/>
    </row>
    <row r="611" spans="5:5" ht="14.25" customHeight="1" x14ac:dyDescent="0.25">
      <c r="E611" s="2"/>
    </row>
    <row r="612" spans="5:5" ht="14.25" customHeight="1" x14ac:dyDescent="0.25">
      <c r="E612" s="2"/>
    </row>
    <row r="613" spans="5:5" ht="14.25" customHeight="1" x14ac:dyDescent="0.25">
      <c r="E613" s="2"/>
    </row>
    <row r="614" spans="5:5" ht="14.25" customHeight="1" x14ac:dyDescent="0.25">
      <c r="E614" s="2"/>
    </row>
    <row r="615" spans="5:5" ht="14.25" customHeight="1" x14ac:dyDescent="0.25">
      <c r="E615" s="2"/>
    </row>
    <row r="616" spans="5:5" ht="14.25" customHeight="1" x14ac:dyDescent="0.25">
      <c r="E616" s="2"/>
    </row>
    <row r="617" spans="5:5" ht="14.25" customHeight="1" x14ac:dyDescent="0.25">
      <c r="E617" s="2"/>
    </row>
    <row r="618" spans="5:5" ht="14.25" customHeight="1" x14ac:dyDescent="0.25">
      <c r="E618" s="2"/>
    </row>
    <row r="619" spans="5:5" ht="14.25" customHeight="1" x14ac:dyDescent="0.25">
      <c r="E619" s="2"/>
    </row>
    <row r="620" spans="5:5" ht="14.25" customHeight="1" x14ac:dyDescent="0.25">
      <c r="E620" s="2"/>
    </row>
    <row r="621" spans="5:5" ht="14.25" customHeight="1" x14ac:dyDescent="0.25">
      <c r="E621" s="2"/>
    </row>
    <row r="622" spans="5:5" ht="14.25" customHeight="1" x14ac:dyDescent="0.25">
      <c r="E622" s="2"/>
    </row>
    <row r="623" spans="5:5" ht="14.25" customHeight="1" x14ac:dyDescent="0.25">
      <c r="E623" s="2"/>
    </row>
    <row r="624" spans="5:5" ht="14.25" customHeight="1" x14ac:dyDescent="0.25">
      <c r="E624" s="2"/>
    </row>
    <row r="625" spans="5:5" ht="14.25" customHeight="1" x14ac:dyDescent="0.25">
      <c r="E625" s="2"/>
    </row>
    <row r="626" spans="5:5" ht="14.25" customHeight="1" x14ac:dyDescent="0.25">
      <c r="E626" s="2"/>
    </row>
    <row r="627" spans="5:5" ht="14.25" customHeight="1" x14ac:dyDescent="0.25">
      <c r="E627" s="2"/>
    </row>
    <row r="628" spans="5:5" ht="14.25" customHeight="1" x14ac:dyDescent="0.25">
      <c r="E628" s="2"/>
    </row>
    <row r="629" spans="5:5" ht="14.25" customHeight="1" x14ac:dyDescent="0.25">
      <c r="E629" s="2"/>
    </row>
    <row r="630" spans="5:5" ht="14.25" customHeight="1" x14ac:dyDescent="0.25">
      <c r="E630" s="2"/>
    </row>
    <row r="631" spans="5:5" ht="14.25" customHeight="1" x14ac:dyDescent="0.25">
      <c r="E631" s="2"/>
    </row>
    <row r="632" spans="5:5" ht="14.25" customHeight="1" x14ac:dyDescent="0.25">
      <c r="E632" s="2"/>
    </row>
    <row r="633" spans="5:5" ht="14.25" customHeight="1" x14ac:dyDescent="0.25">
      <c r="E633" s="2"/>
    </row>
    <row r="634" spans="5:5" ht="14.25" customHeight="1" x14ac:dyDescent="0.25">
      <c r="E634" s="2"/>
    </row>
    <row r="635" spans="5:5" ht="14.25" customHeight="1" x14ac:dyDescent="0.25">
      <c r="E635" s="2"/>
    </row>
    <row r="636" spans="5:5" ht="14.25" customHeight="1" x14ac:dyDescent="0.25">
      <c r="E636" s="2"/>
    </row>
    <row r="637" spans="5:5" ht="14.25" customHeight="1" x14ac:dyDescent="0.25">
      <c r="E637" s="2"/>
    </row>
    <row r="638" spans="5:5" ht="14.25" customHeight="1" x14ac:dyDescent="0.25">
      <c r="E638" s="2"/>
    </row>
    <row r="639" spans="5:5" ht="14.25" customHeight="1" x14ac:dyDescent="0.25">
      <c r="E639" s="2"/>
    </row>
    <row r="640" spans="5:5" ht="14.25" customHeight="1" x14ac:dyDescent="0.25">
      <c r="E640" s="2"/>
    </row>
    <row r="641" spans="5:5" ht="14.25" customHeight="1" x14ac:dyDescent="0.25">
      <c r="E641" s="2"/>
    </row>
    <row r="642" spans="5:5" ht="14.25" customHeight="1" x14ac:dyDescent="0.25">
      <c r="E642" s="2"/>
    </row>
    <row r="643" spans="5:5" ht="14.25" customHeight="1" x14ac:dyDescent="0.25">
      <c r="E643" s="2"/>
    </row>
    <row r="644" spans="5:5" ht="14.25" customHeight="1" x14ac:dyDescent="0.25">
      <c r="E644" s="2"/>
    </row>
    <row r="645" spans="5:5" ht="14.25" customHeight="1" x14ac:dyDescent="0.25">
      <c r="E645" s="2"/>
    </row>
    <row r="646" spans="5:5" ht="14.25" customHeight="1" x14ac:dyDescent="0.25">
      <c r="E646" s="2"/>
    </row>
    <row r="647" spans="5:5" ht="14.25" customHeight="1" x14ac:dyDescent="0.25">
      <c r="E647" s="2"/>
    </row>
    <row r="648" spans="5:5" ht="14.25" customHeight="1" x14ac:dyDescent="0.25">
      <c r="E648" s="2"/>
    </row>
    <row r="649" spans="5:5" ht="14.25" customHeight="1" x14ac:dyDescent="0.25">
      <c r="E649" s="2"/>
    </row>
    <row r="650" spans="5:5" ht="14.25" customHeight="1" x14ac:dyDescent="0.25">
      <c r="E650" s="2"/>
    </row>
    <row r="651" spans="5:5" ht="14.25" customHeight="1" x14ac:dyDescent="0.25">
      <c r="E651" s="2"/>
    </row>
    <row r="652" spans="5:5" ht="14.25" customHeight="1" x14ac:dyDescent="0.25">
      <c r="E652" s="2"/>
    </row>
    <row r="653" spans="5:5" ht="14.25" customHeight="1" x14ac:dyDescent="0.25">
      <c r="E653" s="2"/>
    </row>
    <row r="654" spans="5:5" ht="14.25" customHeight="1" x14ac:dyDescent="0.25">
      <c r="E654" s="2"/>
    </row>
    <row r="655" spans="5:5" ht="14.25" customHeight="1" x14ac:dyDescent="0.25">
      <c r="E655" s="2"/>
    </row>
    <row r="656" spans="5:5" ht="14.25" customHeight="1" x14ac:dyDescent="0.25">
      <c r="E656" s="2"/>
    </row>
    <row r="657" spans="5:5" ht="14.25" customHeight="1" x14ac:dyDescent="0.25">
      <c r="E657" s="2"/>
    </row>
    <row r="658" spans="5:5" ht="14.25" customHeight="1" x14ac:dyDescent="0.25">
      <c r="E658" s="2"/>
    </row>
    <row r="659" spans="5:5" ht="14.25" customHeight="1" x14ac:dyDescent="0.25">
      <c r="E659" s="2"/>
    </row>
    <row r="660" spans="5:5" ht="14.25" customHeight="1" x14ac:dyDescent="0.25">
      <c r="E660" s="2"/>
    </row>
    <row r="661" spans="5:5" ht="14.25" customHeight="1" x14ac:dyDescent="0.25">
      <c r="E661" s="2"/>
    </row>
    <row r="662" spans="5:5" ht="14.25" customHeight="1" x14ac:dyDescent="0.25">
      <c r="E662" s="2"/>
    </row>
    <row r="663" spans="5:5" ht="14.25" customHeight="1" x14ac:dyDescent="0.25">
      <c r="E663" s="2"/>
    </row>
    <row r="664" spans="5:5" ht="14.25" customHeight="1" x14ac:dyDescent="0.25">
      <c r="E664" s="2"/>
    </row>
    <row r="665" spans="5:5" ht="14.25" customHeight="1" x14ac:dyDescent="0.25">
      <c r="E665" s="2"/>
    </row>
    <row r="666" spans="5:5" ht="14.25" customHeight="1" x14ac:dyDescent="0.25">
      <c r="E666" s="2"/>
    </row>
    <row r="667" spans="5:5" ht="14.25" customHeight="1" x14ac:dyDescent="0.25">
      <c r="E667" s="2"/>
    </row>
    <row r="668" spans="5:5" ht="14.25" customHeight="1" x14ac:dyDescent="0.25">
      <c r="E668" s="2"/>
    </row>
    <row r="669" spans="5:5" ht="14.25" customHeight="1" x14ac:dyDescent="0.25">
      <c r="E669" s="2"/>
    </row>
    <row r="670" spans="5:5" ht="14.25" customHeight="1" x14ac:dyDescent="0.25">
      <c r="E670" s="2"/>
    </row>
    <row r="671" spans="5:5" ht="14.25" customHeight="1" x14ac:dyDescent="0.25">
      <c r="E671" s="2"/>
    </row>
    <row r="672" spans="5:5" ht="14.25" customHeight="1" x14ac:dyDescent="0.25">
      <c r="E672" s="2"/>
    </row>
    <row r="673" spans="5:5" ht="14.25" customHeight="1" x14ac:dyDescent="0.25">
      <c r="E673" s="2"/>
    </row>
    <row r="674" spans="5:5" ht="14.25" customHeight="1" x14ac:dyDescent="0.25">
      <c r="E674" s="2"/>
    </row>
    <row r="675" spans="5:5" ht="14.25" customHeight="1" x14ac:dyDescent="0.25">
      <c r="E675" s="2"/>
    </row>
    <row r="676" spans="5:5" ht="14.25" customHeight="1" x14ac:dyDescent="0.25">
      <c r="E676" s="2"/>
    </row>
    <row r="677" spans="5:5" ht="14.25" customHeight="1" x14ac:dyDescent="0.25">
      <c r="E677" s="2"/>
    </row>
    <row r="678" spans="5:5" ht="14.25" customHeight="1" x14ac:dyDescent="0.25">
      <c r="E678" s="2"/>
    </row>
    <row r="679" spans="5:5" ht="14.25" customHeight="1" x14ac:dyDescent="0.25">
      <c r="E679" s="2"/>
    </row>
    <row r="680" spans="5:5" ht="14.25" customHeight="1" x14ac:dyDescent="0.25">
      <c r="E680" s="2"/>
    </row>
    <row r="681" spans="5:5" ht="14.25" customHeight="1" x14ac:dyDescent="0.25">
      <c r="E681" s="2"/>
    </row>
    <row r="682" spans="5:5" ht="14.25" customHeight="1" x14ac:dyDescent="0.25">
      <c r="E682" s="2"/>
    </row>
    <row r="683" spans="5:5" ht="14.25" customHeight="1" x14ac:dyDescent="0.25">
      <c r="E683" s="2"/>
    </row>
    <row r="684" spans="5:5" ht="14.25" customHeight="1" x14ac:dyDescent="0.25">
      <c r="E684" s="2"/>
    </row>
    <row r="685" spans="5:5" ht="14.25" customHeight="1" x14ac:dyDescent="0.25">
      <c r="E685" s="2"/>
    </row>
    <row r="686" spans="5:5" ht="14.25" customHeight="1" x14ac:dyDescent="0.25">
      <c r="E686" s="2"/>
    </row>
    <row r="687" spans="5:5" ht="14.25" customHeight="1" x14ac:dyDescent="0.25">
      <c r="E687" s="2"/>
    </row>
    <row r="688" spans="5:5" ht="14.25" customHeight="1" x14ac:dyDescent="0.25">
      <c r="E688" s="2"/>
    </row>
    <row r="689" spans="5:5" ht="14.25" customHeight="1" x14ac:dyDescent="0.25">
      <c r="E689" s="2"/>
    </row>
    <row r="690" spans="5:5" ht="14.25" customHeight="1" x14ac:dyDescent="0.25">
      <c r="E690" s="2"/>
    </row>
    <row r="691" spans="5:5" ht="14.25" customHeight="1" x14ac:dyDescent="0.25">
      <c r="E691" s="2"/>
    </row>
    <row r="692" spans="5:5" ht="14.25" customHeight="1" x14ac:dyDescent="0.25">
      <c r="E692" s="2"/>
    </row>
    <row r="693" spans="5:5" ht="14.25" customHeight="1" x14ac:dyDescent="0.25">
      <c r="E693" s="2"/>
    </row>
    <row r="694" spans="5:5" ht="14.25" customHeight="1" x14ac:dyDescent="0.25">
      <c r="E694" s="2"/>
    </row>
    <row r="695" spans="5:5" ht="14.25" customHeight="1" x14ac:dyDescent="0.25">
      <c r="E695" s="2"/>
    </row>
    <row r="696" spans="5:5" ht="14.25" customHeight="1" x14ac:dyDescent="0.25">
      <c r="E696" s="2"/>
    </row>
    <row r="697" spans="5:5" ht="14.25" customHeight="1" x14ac:dyDescent="0.25">
      <c r="E697" s="2"/>
    </row>
    <row r="698" spans="5:5" ht="14.25" customHeight="1" x14ac:dyDescent="0.25">
      <c r="E698" s="2"/>
    </row>
    <row r="699" spans="5:5" ht="14.25" customHeight="1" x14ac:dyDescent="0.25">
      <c r="E699" s="2"/>
    </row>
    <row r="700" spans="5:5" ht="14.25" customHeight="1" x14ac:dyDescent="0.25">
      <c r="E700" s="2"/>
    </row>
    <row r="701" spans="5:5" ht="14.25" customHeight="1" x14ac:dyDescent="0.25">
      <c r="E701" s="2"/>
    </row>
    <row r="702" spans="5:5" ht="14.25" customHeight="1" x14ac:dyDescent="0.25">
      <c r="E702" s="2"/>
    </row>
    <row r="703" spans="5:5" ht="14.25" customHeight="1" x14ac:dyDescent="0.25">
      <c r="E703" s="2"/>
    </row>
    <row r="704" spans="5:5" ht="14.25" customHeight="1" x14ac:dyDescent="0.25">
      <c r="E704" s="2"/>
    </row>
    <row r="705" spans="5:5" ht="14.25" customHeight="1" x14ac:dyDescent="0.25">
      <c r="E705" s="2"/>
    </row>
    <row r="706" spans="5:5" ht="14.25" customHeight="1" x14ac:dyDescent="0.25">
      <c r="E706" s="2"/>
    </row>
    <row r="707" spans="5:5" ht="14.25" customHeight="1" x14ac:dyDescent="0.25">
      <c r="E707" s="2"/>
    </row>
    <row r="708" spans="5:5" ht="14.25" customHeight="1" x14ac:dyDescent="0.25">
      <c r="E708" s="2"/>
    </row>
    <row r="709" spans="5:5" ht="14.25" customHeight="1" x14ac:dyDescent="0.25">
      <c r="E709" s="2"/>
    </row>
    <row r="710" spans="5:5" ht="14.25" customHeight="1" x14ac:dyDescent="0.25">
      <c r="E710" s="2"/>
    </row>
    <row r="711" spans="5:5" ht="14.25" customHeight="1" x14ac:dyDescent="0.25">
      <c r="E711" s="2"/>
    </row>
    <row r="712" spans="5:5" ht="14.25" customHeight="1" x14ac:dyDescent="0.25">
      <c r="E712" s="2"/>
    </row>
    <row r="713" spans="5:5" ht="14.25" customHeight="1" x14ac:dyDescent="0.25">
      <c r="E713" s="2"/>
    </row>
    <row r="714" spans="5:5" ht="14.25" customHeight="1" x14ac:dyDescent="0.25">
      <c r="E714" s="2"/>
    </row>
    <row r="715" spans="5:5" ht="14.25" customHeight="1" x14ac:dyDescent="0.25">
      <c r="E715" s="2"/>
    </row>
    <row r="716" spans="5:5" ht="14.25" customHeight="1" x14ac:dyDescent="0.25">
      <c r="E716" s="2"/>
    </row>
    <row r="717" spans="5:5" ht="14.25" customHeight="1" x14ac:dyDescent="0.25">
      <c r="E717" s="2"/>
    </row>
    <row r="718" spans="5:5" ht="14.25" customHeight="1" x14ac:dyDescent="0.25">
      <c r="E718" s="2"/>
    </row>
    <row r="719" spans="5:5" ht="14.25" customHeight="1" x14ac:dyDescent="0.25">
      <c r="E719" s="2"/>
    </row>
    <row r="720" spans="5:5" ht="14.25" customHeight="1" x14ac:dyDescent="0.25">
      <c r="E720" s="2"/>
    </row>
    <row r="721" spans="5:5" ht="14.25" customHeight="1" x14ac:dyDescent="0.25">
      <c r="E721" s="2"/>
    </row>
    <row r="722" spans="5:5" ht="14.25" customHeight="1" x14ac:dyDescent="0.25">
      <c r="E722" s="2"/>
    </row>
    <row r="723" spans="5:5" ht="14.25" customHeight="1" x14ac:dyDescent="0.25">
      <c r="E723" s="2"/>
    </row>
    <row r="724" spans="5:5" ht="14.25" customHeight="1" x14ac:dyDescent="0.25">
      <c r="E724" s="2"/>
    </row>
    <row r="725" spans="5:5" ht="14.25" customHeight="1" x14ac:dyDescent="0.25">
      <c r="E725" s="2"/>
    </row>
    <row r="726" spans="5:5" ht="14.25" customHeight="1" x14ac:dyDescent="0.25">
      <c r="E726" s="2"/>
    </row>
    <row r="727" spans="5:5" ht="14.25" customHeight="1" x14ac:dyDescent="0.25">
      <c r="E727" s="2"/>
    </row>
    <row r="728" spans="5:5" ht="14.25" customHeight="1" x14ac:dyDescent="0.25">
      <c r="E728" s="2"/>
    </row>
    <row r="729" spans="5:5" ht="14.25" customHeight="1" x14ac:dyDescent="0.25">
      <c r="E729" s="2"/>
    </row>
    <row r="730" spans="5:5" ht="14.25" customHeight="1" x14ac:dyDescent="0.25">
      <c r="E730" s="2"/>
    </row>
    <row r="731" spans="5:5" ht="14.25" customHeight="1" x14ac:dyDescent="0.25">
      <c r="E731" s="2"/>
    </row>
    <row r="732" spans="5:5" ht="14.25" customHeight="1" x14ac:dyDescent="0.25">
      <c r="E732" s="2"/>
    </row>
    <row r="733" spans="5:5" ht="14.25" customHeight="1" x14ac:dyDescent="0.25">
      <c r="E733" s="2"/>
    </row>
    <row r="734" spans="5:5" ht="14.25" customHeight="1" x14ac:dyDescent="0.25">
      <c r="E734" s="2"/>
    </row>
    <row r="735" spans="5:5" ht="14.25" customHeight="1" x14ac:dyDescent="0.25">
      <c r="E735" s="2"/>
    </row>
    <row r="736" spans="5:5" ht="14.25" customHeight="1" x14ac:dyDescent="0.25">
      <c r="E736" s="2"/>
    </row>
    <row r="737" spans="5:5" ht="14.25" customHeight="1" x14ac:dyDescent="0.25">
      <c r="E737" s="2"/>
    </row>
    <row r="738" spans="5:5" ht="14.25" customHeight="1" x14ac:dyDescent="0.25">
      <c r="E738" s="2"/>
    </row>
    <row r="739" spans="5:5" ht="14.25" customHeight="1" x14ac:dyDescent="0.25">
      <c r="E739" s="2"/>
    </row>
    <row r="740" spans="5:5" ht="14.25" customHeight="1" x14ac:dyDescent="0.25">
      <c r="E740" s="2"/>
    </row>
    <row r="741" spans="5:5" ht="14.25" customHeight="1" x14ac:dyDescent="0.25">
      <c r="E741" s="2"/>
    </row>
    <row r="742" spans="5:5" ht="14.25" customHeight="1" x14ac:dyDescent="0.25">
      <c r="E742" s="2"/>
    </row>
    <row r="743" spans="5:5" ht="14.25" customHeight="1" x14ac:dyDescent="0.25">
      <c r="E743" s="2"/>
    </row>
    <row r="744" spans="5:5" ht="14.25" customHeight="1" x14ac:dyDescent="0.25">
      <c r="E744" s="2"/>
    </row>
    <row r="745" spans="5:5" ht="14.25" customHeight="1" x14ac:dyDescent="0.25">
      <c r="E745" s="2"/>
    </row>
    <row r="746" spans="5:5" ht="14.25" customHeight="1" x14ac:dyDescent="0.25">
      <c r="E746" s="2"/>
    </row>
    <row r="747" spans="5:5" ht="14.25" customHeight="1" x14ac:dyDescent="0.25">
      <c r="E747" s="2"/>
    </row>
    <row r="748" spans="5:5" ht="14.25" customHeight="1" x14ac:dyDescent="0.25">
      <c r="E748" s="2"/>
    </row>
    <row r="749" spans="5:5" ht="14.25" customHeight="1" x14ac:dyDescent="0.25">
      <c r="E749" s="2"/>
    </row>
    <row r="750" spans="5:5" ht="14.25" customHeight="1" x14ac:dyDescent="0.25">
      <c r="E750" s="2"/>
    </row>
    <row r="751" spans="5:5" ht="14.25" customHeight="1" x14ac:dyDescent="0.25">
      <c r="E751" s="2"/>
    </row>
    <row r="752" spans="5:5" ht="14.25" customHeight="1" x14ac:dyDescent="0.25">
      <c r="E752" s="2"/>
    </row>
    <row r="753" spans="5:5" ht="14.25" customHeight="1" x14ac:dyDescent="0.25">
      <c r="E753" s="2"/>
    </row>
    <row r="754" spans="5:5" ht="14.25" customHeight="1" x14ac:dyDescent="0.25">
      <c r="E754" s="2"/>
    </row>
    <row r="755" spans="5:5" ht="14.25" customHeight="1" x14ac:dyDescent="0.25">
      <c r="E755" s="2"/>
    </row>
    <row r="756" spans="5:5" ht="14.25" customHeight="1" x14ac:dyDescent="0.25">
      <c r="E756" s="2"/>
    </row>
    <row r="757" spans="5:5" ht="14.25" customHeight="1" x14ac:dyDescent="0.25">
      <c r="E757" s="2"/>
    </row>
    <row r="758" spans="5:5" ht="14.25" customHeight="1" x14ac:dyDescent="0.25">
      <c r="E758" s="2"/>
    </row>
    <row r="759" spans="5:5" ht="14.25" customHeight="1" x14ac:dyDescent="0.25">
      <c r="E759" s="2"/>
    </row>
    <row r="760" spans="5:5" ht="14.25" customHeight="1" x14ac:dyDescent="0.25">
      <c r="E760" s="2"/>
    </row>
    <row r="761" spans="5:5" ht="14.25" customHeight="1" x14ac:dyDescent="0.25">
      <c r="E761" s="2"/>
    </row>
    <row r="762" spans="5:5" ht="14.25" customHeight="1" x14ac:dyDescent="0.25">
      <c r="E762" s="2"/>
    </row>
    <row r="763" spans="5:5" ht="14.25" customHeight="1" x14ac:dyDescent="0.25">
      <c r="E763" s="2"/>
    </row>
    <row r="764" spans="5:5" ht="14.25" customHeight="1" x14ac:dyDescent="0.25">
      <c r="E764" s="2"/>
    </row>
    <row r="765" spans="5:5" ht="14.25" customHeight="1" x14ac:dyDescent="0.25">
      <c r="E765" s="2"/>
    </row>
    <row r="766" spans="5:5" ht="14.25" customHeight="1" x14ac:dyDescent="0.25">
      <c r="E766" s="2"/>
    </row>
    <row r="767" spans="5:5" ht="14.25" customHeight="1" x14ac:dyDescent="0.25">
      <c r="E767" s="2"/>
    </row>
    <row r="768" spans="5:5" ht="14.25" customHeight="1" x14ac:dyDescent="0.25">
      <c r="E768" s="2"/>
    </row>
    <row r="769" spans="5:5" ht="14.25" customHeight="1" x14ac:dyDescent="0.25">
      <c r="E769" s="2"/>
    </row>
    <row r="770" spans="5:5" ht="14.25" customHeight="1" x14ac:dyDescent="0.25">
      <c r="E770" s="2"/>
    </row>
    <row r="771" spans="5:5" ht="14.25" customHeight="1" x14ac:dyDescent="0.25">
      <c r="E771" s="2"/>
    </row>
    <row r="772" spans="5:5" ht="14.25" customHeight="1" x14ac:dyDescent="0.25">
      <c r="E772" s="2"/>
    </row>
    <row r="773" spans="5:5" ht="14.25" customHeight="1" x14ac:dyDescent="0.25">
      <c r="E773" s="2"/>
    </row>
    <row r="774" spans="5:5" ht="14.25" customHeight="1" x14ac:dyDescent="0.25">
      <c r="E774" s="2"/>
    </row>
    <row r="775" spans="5:5" ht="14.25" customHeight="1" x14ac:dyDescent="0.25">
      <c r="E775" s="2"/>
    </row>
    <row r="776" spans="5:5" ht="14.25" customHeight="1" x14ac:dyDescent="0.25">
      <c r="E776" s="2"/>
    </row>
    <row r="777" spans="5:5" ht="14.25" customHeight="1" x14ac:dyDescent="0.25">
      <c r="E777" s="2"/>
    </row>
    <row r="778" spans="5:5" ht="14.25" customHeight="1" x14ac:dyDescent="0.25">
      <c r="E778" s="2"/>
    </row>
    <row r="779" spans="5:5" ht="14.25" customHeight="1" x14ac:dyDescent="0.25">
      <c r="E779" s="2"/>
    </row>
    <row r="780" spans="5:5" ht="14.25" customHeight="1" x14ac:dyDescent="0.25">
      <c r="E780" s="2"/>
    </row>
    <row r="781" spans="5:5" ht="14.25" customHeight="1" x14ac:dyDescent="0.25">
      <c r="E781" s="2"/>
    </row>
    <row r="782" spans="5:5" ht="14.25" customHeight="1" x14ac:dyDescent="0.25">
      <c r="E782" s="2"/>
    </row>
    <row r="783" spans="5:5" ht="14.25" customHeight="1" x14ac:dyDescent="0.25">
      <c r="E783" s="2"/>
    </row>
    <row r="784" spans="5:5" ht="14.25" customHeight="1" x14ac:dyDescent="0.25">
      <c r="E784" s="2"/>
    </row>
    <row r="785" spans="5:5" ht="14.25" customHeight="1" x14ac:dyDescent="0.25">
      <c r="E785" s="2"/>
    </row>
    <row r="786" spans="5:5" ht="14.25" customHeight="1" x14ac:dyDescent="0.25">
      <c r="E786" s="2"/>
    </row>
    <row r="787" spans="5:5" ht="14.25" customHeight="1" x14ac:dyDescent="0.25">
      <c r="E787" s="2"/>
    </row>
    <row r="788" spans="5:5" ht="14.25" customHeight="1" x14ac:dyDescent="0.25">
      <c r="E788" s="2"/>
    </row>
    <row r="789" spans="5:5" ht="14.25" customHeight="1" x14ac:dyDescent="0.25">
      <c r="E789" s="2"/>
    </row>
    <row r="790" spans="5:5" ht="14.25" customHeight="1" x14ac:dyDescent="0.25">
      <c r="E790" s="2"/>
    </row>
    <row r="791" spans="5:5" ht="14.25" customHeight="1" x14ac:dyDescent="0.25">
      <c r="E791" s="2"/>
    </row>
    <row r="792" spans="5:5" ht="14.25" customHeight="1" x14ac:dyDescent="0.25">
      <c r="E792" s="2"/>
    </row>
    <row r="793" spans="5:5" ht="14.25" customHeight="1" x14ac:dyDescent="0.25">
      <c r="E793" s="2"/>
    </row>
    <row r="794" spans="5:5" ht="14.25" customHeight="1" x14ac:dyDescent="0.25">
      <c r="E794" s="2"/>
    </row>
    <row r="795" spans="5:5" ht="14.25" customHeight="1" x14ac:dyDescent="0.25">
      <c r="E795" s="2"/>
    </row>
    <row r="796" spans="5:5" ht="14.25" customHeight="1" x14ac:dyDescent="0.25">
      <c r="E796" s="2"/>
    </row>
    <row r="797" spans="5:5" ht="14.25" customHeight="1" x14ac:dyDescent="0.25">
      <c r="E797" s="2"/>
    </row>
    <row r="798" spans="5:5" ht="14.25" customHeight="1" x14ac:dyDescent="0.25">
      <c r="E798" s="2"/>
    </row>
    <row r="799" spans="5:5" ht="14.25" customHeight="1" x14ac:dyDescent="0.25">
      <c r="E799" s="2"/>
    </row>
    <row r="800" spans="5:5" ht="14.25" customHeight="1" x14ac:dyDescent="0.25">
      <c r="E800" s="2"/>
    </row>
    <row r="801" spans="5:5" ht="14.25" customHeight="1" x14ac:dyDescent="0.25">
      <c r="E801" s="2"/>
    </row>
    <row r="802" spans="5:5" ht="14.25" customHeight="1" x14ac:dyDescent="0.25">
      <c r="E802" s="2"/>
    </row>
    <row r="803" spans="5:5" ht="14.25" customHeight="1" x14ac:dyDescent="0.25">
      <c r="E803" s="2"/>
    </row>
    <row r="804" spans="5:5" ht="14.25" customHeight="1" x14ac:dyDescent="0.25">
      <c r="E804" s="2"/>
    </row>
    <row r="805" spans="5:5" ht="14.25" customHeight="1" x14ac:dyDescent="0.25">
      <c r="E805" s="2"/>
    </row>
    <row r="806" spans="5:5" ht="14.25" customHeight="1" x14ac:dyDescent="0.25">
      <c r="E806" s="2"/>
    </row>
    <row r="807" spans="5:5" ht="14.25" customHeight="1" x14ac:dyDescent="0.25">
      <c r="E807" s="2"/>
    </row>
    <row r="808" spans="5:5" ht="14.25" customHeight="1" x14ac:dyDescent="0.25">
      <c r="E808" s="2"/>
    </row>
    <row r="809" spans="5:5" ht="14.25" customHeight="1" x14ac:dyDescent="0.25">
      <c r="E809" s="2"/>
    </row>
    <row r="810" spans="5:5" ht="14.25" customHeight="1" x14ac:dyDescent="0.25">
      <c r="E810" s="2"/>
    </row>
    <row r="811" spans="5:5" ht="14.25" customHeight="1" x14ac:dyDescent="0.25">
      <c r="E811" s="2"/>
    </row>
    <row r="812" spans="5:5" ht="14.25" customHeight="1" x14ac:dyDescent="0.25">
      <c r="E812" s="2"/>
    </row>
    <row r="813" spans="5:5" ht="14.25" customHeight="1" x14ac:dyDescent="0.25">
      <c r="E813" s="2"/>
    </row>
    <row r="814" spans="5:5" ht="14.25" customHeight="1" x14ac:dyDescent="0.25">
      <c r="E814" s="2"/>
    </row>
    <row r="815" spans="5:5" ht="14.25" customHeight="1" x14ac:dyDescent="0.25">
      <c r="E815" s="2"/>
    </row>
    <row r="816" spans="5:5" ht="14.25" customHeight="1" x14ac:dyDescent="0.25">
      <c r="E816" s="2"/>
    </row>
    <row r="817" spans="5:5" ht="14.25" customHeight="1" x14ac:dyDescent="0.25">
      <c r="E817" s="2"/>
    </row>
    <row r="818" spans="5:5" ht="14.25" customHeight="1" x14ac:dyDescent="0.25">
      <c r="E818" s="2"/>
    </row>
    <row r="819" spans="5:5" ht="14.25" customHeight="1" x14ac:dyDescent="0.25">
      <c r="E819" s="2"/>
    </row>
    <row r="820" spans="5:5" ht="14.25" customHeight="1" x14ac:dyDescent="0.25">
      <c r="E820" s="2"/>
    </row>
    <row r="821" spans="5:5" ht="14.25" customHeight="1" x14ac:dyDescent="0.25">
      <c r="E821" s="2"/>
    </row>
    <row r="822" spans="5:5" ht="14.25" customHeight="1" x14ac:dyDescent="0.25">
      <c r="E822" s="2"/>
    </row>
    <row r="823" spans="5:5" ht="14.25" customHeight="1" x14ac:dyDescent="0.25">
      <c r="E823" s="2"/>
    </row>
    <row r="824" spans="5:5" ht="14.25" customHeight="1" x14ac:dyDescent="0.25">
      <c r="E824" s="2"/>
    </row>
    <row r="825" spans="5:5" ht="14.25" customHeight="1" x14ac:dyDescent="0.25">
      <c r="E825" s="2"/>
    </row>
    <row r="826" spans="5:5" ht="14.25" customHeight="1" x14ac:dyDescent="0.25">
      <c r="E826" s="2"/>
    </row>
    <row r="827" spans="5:5" ht="14.25" customHeight="1" x14ac:dyDescent="0.25">
      <c r="E827" s="2"/>
    </row>
    <row r="828" spans="5:5" ht="14.25" customHeight="1" x14ac:dyDescent="0.25">
      <c r="E828" s="2"/>
    </row>
    <row r="829" spans="5:5" ht="14.25" customHeight="1" x14ac:dyDescent="0.25">
      <c r="E829" s="2"/>
    </row>
    <row r="830" spans="5:5" ht="14.25" customHeight="1" x14ac:dyDescent="0.25">
      <c r="E830" s="2"/>
    </row>
    <row r="831" spans="5:5" ht="14.25" customHeight="1" x14ac:dyDescent="0.25">
      <c r="E831" s="2"/>
    </row>
    <row r="832" spans="5:5" ht="14.25" customHeight="1" x14ac:dyDescent="0.25">
      <c r="E832" s="2"/>
    </row>
    <row r="833" spans="5:5" ht="14.25" customHeight="1" x14ac:dyDescent="0.25">
      <c r="E833" s="2"/>
    </row>
    <row r="834" spans="5:5" ht="14.25" customHeight="1" x14ac:dyDescent="0.25">
      <c r="E834" s="2"/>
    </row>
    <row r="835" spans="5:5" ht="14.25" customHeight="1" x14ac:dyDescent="0.25">
      <c r="E835" s="2"/>
    </row>
    <row r="836" spans="5:5" ht="14.25" customHeight="1" x14ac:dyDescent="0.25">
      <c r="E836" s="2"/>
    </row>
    <row r="837" spans="5:5" ht="14.25" customHeight="1" x14ac:dyDescent="0.25">
      <c r="E837" s="2"/>
    </row>
    <row r="838" spans="5:5" ht="14.25" customHeight="1" x14ac:dyDescent="0.25">
      <c r="E838" s="2"/>
    </row>
    <row r="839" spans="5:5" ht="14.25" customHeight="1" x14ac:dyDescent="0.25">
      <c r="E839" s="2"/>
    </row>
    <row r="840" spans="5:5" ht="14.25" customHeight="1" x14ac:dyDescent="0.25">
      <c r="E840" s="2"/>
    </row>
    <row r="841" spans="5:5" ht="14.25" customHeight="1" x14ac:dyDescent="0.25">
      <c r="E841" s="2"/>
    </row>
    <row r="842" spans="5:5" ht="14.25" customHeight="1" x14ac:dyDescent="0.25">
      <c r="E842" s="2"/>
    </row>
    <row r="843" spans="5:5" ht="14.25" customHeight="1" x14ac:dyDescent="0.25">
      <c r="E843" s="2"/>
    </row>
    <row r="844" spans="5:5" ht="14.25" customHeight="1" x14ac:dyDescent="0.25">
      <c r="E844" s="2"/>
    </row>
    <row r="845" spans="5:5" ht="14.25" customHeight="1" x14ac:dyDescent="0.25">
      <c r="E845" s="2"/>
    </row>
    <row r="846" spans="5:5" ht="14.25" customHeight="1" x14ac:dyDescent="0.25">
      <c r="E846" s="2"/>
    </row>
    <row r="847" spans="5:5" ht="14.25" customHeight="1" x14ac:dyDescent="0.25">
      <c r="E847" s="2"/>
    </row>
    <row r="848" spans="5:5" ht="14.25" customHeight="1" x14ac:dyDescent="0.25">
      <c r="E848" s="2"/>
    </row>
    <row r="849" spans="5:5" ht="14.25" customHeight="1" x14ac:dyDescent="0.25">
      <c r="E849" s="2"/>
    </row>
    <row r="850" spans="5:5" ht="14.25" customHeight="1" x14ac:dyDescent="0.25">
      <c r="E850" s="2"/>
    </row>
    <row r="851" spans="5:5" ht="14.25" customHeight="1" x14ac:dyDescent="0.25">
      <c r="E851" s="2"/>
    </row>
    <row r="852" spans="5:5" ht="14.25" customHeight="1" x14ac:dyDescent="0.25">
      <c r="E852" s="2"/>
    </row>
    <row r="853" spans="5:5" ht="14.25" customHeight="1" x14ac:dyDescent="0.25">
      <c r="E853" s="2"/>
    </row>
    <row r="854" spans="5:5" ht="14.25" customHeight="1" x14ac:dyDescent="0.25">
      <c r="E854" s="2"/>
    </row>
    <row r="855" spans="5:5" ht="14.25" customHeight="1" x14ac:dyDescent="0.25">
      <c r="E855" s="2"/>
    </row>
    <row r="856" spans="5:5" ht="14.25" customHeight="1" x14ac:dyDescent="0.25">
      <c r="E856" s="2"/>
    </row>
    <row r="857" spans="5:5" ht="14.25" customHeight="1" x14ac:dyDescent="0.25">
      <c r="E857" s="2"/>
    </row>
    <row r="858" spans="5:5" ht="14.25" customHeight="1" x14ac:dyDescent="0.25">
      <c r="E858" s="2"/>
    </row>
    <row r="859" spans="5:5" ht="14.25" customHeight="1" x14ac:dyDescent="0.25">
      <c r="E859" s="2"/>
    </row>
    <row r="860" spans="5:5" ht="14.25" customHeight="1" x14ac:dyDescent="0.25">
      <c r="E860" s="2"/>
    </row>
    <row r="861" spans="5:5" ht="14.25" customHeight="1" x14ac:dyDescent="0.25">
      <c r="E861" s="2"/>
    </row>
    <row r="862" spans="5:5" ht="14.25" customHeight="1" x14ac:dyDescent="0.25">
      <c r="E862" s="2"/>
    </row>
    <row r="863" spans="5:5" ht="14.25" customHeight="1" x14ac:dyDescent="0.25">
      <c r="E863" s="2"/>
    </row>
    <row r="864" spans="5:5" ht="14.25" customHeight="1" x14ac:dyDescent="0.25">
      <c r="E864" s="2"/>
    </row>
    <row r="865" spans="5:5" ht="14.25" customHeight="1" x14ac:dyDescent="0.25">
      <c r="E865" s="2"/>
    </row>
    <row r="866" spans="5:5" ht="14.25" customHeight="1" x14ac:dyDescent="0.25">
      <c r="E866" s="2"/>
    </row>
    <row r="867" spans="5:5" ht="14.25" customHeight="1" x14ac:dyDescent="0.25">
      <c r="E867" s="2"/>
    </row>
    <row r="868" spans="5:5" ht="14.25" customHeight="1" x14ac:dyDescent="0.25">
      <c r="E868" s="2"/>
    </row>
    <row r="869" spans="5:5" ht="14.25" customHeight="1" x14ac:dyDescent="0.25">
      <c r="E869" s="2"/>
    </row>
    <row r="870" spans="5:5" ht="14.25" customHeight="1" x14ac:dyDescent="0.25">
      <c r="E870" s="2"/>
    </row>
    <row r="871" spans="5:5" ht="14.25" customHeight="1" x14ac:dyDescent="0.25">
      <c r="E871" s="2"/>
    </row>
    <row r="872" spans="5:5" ht="14.25" customHeight="1" x14ac:dyDescent="0.25">
      <c r="E872" s="2"/>
    </row>
    <row r="873" spans="5:5" ht="14.25" customHeight="1" x14ac:dyDescent="0.25">
      <c r="E873" s="2"/>
    </row>
    <row r="874" spans="5:5" ht="14.25" customHeight="1" x14ac:dyDescent="0.25">
      <c r="E874" s="2"/>
    </row>
    <row r="875" spans="5:5" ht="14.25" customHeight="1" x14ac:dyDescent="0.25">
      <c r="E875" s="2"/>
    </row>
    <row r="876" spans="5:5" ht="14.25" customHeight="1" x14ac:dyDescent="0.25">
      <c r="E876" s="2"/>
    </row>
    <row r="877" spans="5:5" ht="14.25" customHeight="1" x14ac:dyDescent="0.25">
      <c r="E877" s="2"/>
    </row>
    <row r="878" spans="5:5" ht="14.25" customHeight="1" x14ac:dyDescent="0.25">
      <c r="E878" s="2"/>
    </row>
    <row r="879" spans="5:5" ht="14.25" customHeight="1" x14ac:dyDescent="0.25">
      <c r="E879" s="2"/>
    </row>
    <row r="880" spans="5:5" ht="14.25" customHeight="1" x14ac:dyDescent="0.25">
      <c r="E880" s="2"/>
    </row>
    <row r="881" spans="5:5" ht="14.25" customHeight="1" x14ac:dyDescent="0.25">
      <c r="E881" s="2"/>
    </row>
    <row r="882" spans="5:5" ht="14.25" customHeight="1" x14ac:dyDescent="0.25">
      <c r="E882" s="2"/>
    </row>
    <row r="883" spans="5:5" ht="14.25" customHeight="1" x14ac:dyDescent="0.25">
      <c r="E883" s="2"/>
    </row>
    <row r="884" spans="5:5" ht="14.25" customHeight="1" x14ac:dyDescent="0.25">
      <c r="E884" s="2"/>
    </row>
    <row r="885" spans="5:5" ht="14.25" customHeight="1" x14ac:dyDescent="0.25">
      <c r="E885" s="2"/>
    </row>
    <row r="886" spans="5:5" ht="14.25" customHeight="1" x14ac:dyDescent="0.25">
      <c r="E886" s="2"/>
    </row>
    <row r="887" spans="5:5" ht="14.25" customHeight="1" x14ac:dyDescent="0.25">
      <c r="E887" s="2"/>
    </row>
    <row r="888" spans="5:5" ht="14.25" customHeight="1" x14ac:dyDescent="0.25">
      <c r="E888" s="2"/>
    </row>
    <row r="889" spans="5:5" ht="14.25" customHeight="1" x14ac:dyDescent="0.25">
      <c r="E889" s="2"/>
    </row>
    <row r="890" spans="5:5" ht="14.25" customHeight="1" x14ac:dyDescent="0.25">
      <c r="E890" s="2"/>
    </row>
    <row r="891" spans="5:5" ht="14.25" customHeight="1" x14ac:dyDescent="0.25">
      <c r="E891" s="2"/>
    </row>
    <row r="892" spans="5:5" ht="14.25" customHeight="1" x14ac:dyDescent="0.25">
      <c r="E892" s="2"/>
    </row>
    <row r="893" spans="5:5" ht="14.25" customHeight="1" x14ac:dyDescent="0.25">
      <c r="E893" s="2"/>
    </row>
    <row r="894" spans="5:5" ht="14.25" customHeight="1" x14ac:dyDescent="0.25">
      <c r="E894" s="2"/>
    </row>
    <row r="895" spans="5:5" ht="14.25" customHeight="1" x14ac:dyDescent="0.25">
      <c r="E895" s="2"/>
    </row>
    <row r="896" spans="5:5" ht="14.25" customHeight="1" x14ac:dyDescent="0.25">
      <c r="E896" s="2"/>
    </row>
    <row r="897" spans="5:5" ht="14.25" customHeight="1" x14ac:dyDescent="0.25">
      <c r="E897" s="2"/>
    </row>
    <row r="898" spans="5:5" ht="14.25" customHeight="1" x14ac:dyDescent="0.25">
      <c r="E898" s="2"/>
    </row>
    <row r="899" spans="5:5" ht="14.25" customHeight="1" x14ac:dyDescent="0.25">
      <c r="E899" s="2"/>
    </row>
    <row r="900" spans="5:5" ht="14.25" customHeight="1" x14ac:dyDescent="0.25">
      <c r="E900" s="2"/>
    </row>
    <row r="901" spans="5:5" ht="14.25" customHeight="1" x14ac:dyDescent="0.25">
      <c r="E901" s="2"/>
    </row>
    <row r="902" spans="5:5" ht="14.25" customHeight="1" x14ac:dyDescent="0.25">
      <c r="E902" s="2"/>
    </row>
    <row r="903" spans="5:5" ht="14.25" customHeight="1" x14ac:dyDescent="0.25">
      <c r="E903" s="2"/>
    </row>
    <row r="904" spans="5:5" ht="14.25" customHeight="1" x14ac:dyDescent="0.25">
      <c r="E904" s="2"/>
    </row>
    <row r="905" spans="5:5" ht="14.25" customHeight="1" x14ac:dyDescent="0.25">
      <c r="E905" s="2"/>
    </row>
    <row r="906" spans="5:5" ht="14.25" customHeight="1" x14ac:dyDescent="0.25">
      <c r="E906" s="2"/>
    </row>
    <row r="907" spans="5:5" ht="14.25" customHeight="1" x14ac:dyDescent="0.25">
      <c r="E907" s="2"/>
    </row>
    <row r="908" spans="5:5" ht="14.25" customHeight="1" x14ac:dyDescent="0.25">
      <c r="E908" s="2"/>
    </row>
    <row r="909" spans="5:5" ht="14.25" customHeight="1" x14ac:dyDescent="0.25">
      <c r="E909" s="2"/>
    </row>
    <row r="910" spans="5:5" ht="14.25" customHeight="1" x14ac:dyDescent="0.25">
      <c r="E910" s="2"/>
    </row>
    <row r="911" spans="5:5" ht="14.25" customHeight="1" x14ac:dyDescent="0.25">
      <c r="E911" s="2"/>
    </row>
    <row r="912" spans="5:5" ht="14.25" customHeight="1" x14ac:dyDescent="0.25">
      <c r="E912" s="2"/>
    </row>
    <row r="913" spans="5:5" ht="14.25" customHeight="1" x14ac:dyDescent="0.25">
      <c r="E913" s="2"/>
    </row>
    <row r="914" spans="5:5" ht="14.25" customHeight="1" x14ac:dyDescent="0.25">
      <c r="E914" s="2"/>
    </row>
    <row r="915" spans="5:5" ht="14.25" customHeight="1" x14ac:dyDescent="0.25">
      <c r="E915" s="2"/>
    </row>
    <row r="916" spans="5:5" ht="14.25" customHeight="1" x14ac:dyDescent="0.25">
      <c r="E916" s="2"/>
    </row>
    <row r="917" spans="5:5" ht="14.25" customHeight="1" x14ac:dyDescent="0.25">
      <c r="E917" s="2"/>
    </row>
    <row r="918" spans="5:5" ht="14.25" customHeight="1" x14ac:dyDescent="0.25">
      <c r="E918" s="2"/>
    </row>
    <row r="919" spans="5:5" ht="14.25" customHeight="1" x14ac:dyDescent="0.25">
      <c r="E919" s="2"/>
    </row>
    <row r="920" spans="5:5" ht="14.25" customHeight="1" x14ac:dyDescent="0.25">
      <c r="E920" s="2"/>
    </row>
    <row r="921" spans="5:5" ht="14.25" customHeight="1" x14ac:dyDescent="0.25">
      <c r="E921" s="2"/>
    </row>
    <row r="922" spans="5:5" ht="14.25" customHeight="1" x14ac:dyDescent="0.25">
      <c r="E922" s="2"/>
    </row>
    <row r="923" spans="5:5" ht="14.25" customHeight="1" x14ac:dyDescent="0.25">
      <c r="E923" s="2"/>
    </row>
    <row r="924" spans="5:5" ht="14.25" customHeight="1" x14ac:dyDescent="0.25">
      <c r="E924" s="2"/>
    </row>
    <row r="925" spans="5:5" ht="14.25" customHeight="1" x14ac:dyDescent="0.25">
      <c r="E925" s="2"/>
    </row>
    <row r="926" spans="5:5" ht="14.25" customHeight="1" x14ac:dyDescent="0.25">
      <c r="E926" s="2"/>
    </row>
    <row r="927" spans="5:5" ht="14.25" customHeight="1" x14ac:dyDescent="0.25">
      <c r="E927" s="2"/>
    </row>
    <row r="928" spans="5:5" ht="14.25" customHeight="1" x14ac:dyDescent="0.25">
      <c r="E928" s="2"/>
    </row>
    <row r="929" spans="5:5" ht="14.25" customHeight="1" x14ac:dyDescent="0.25">
      <c r="E929" s="2"/>
    </row>
    <row r="930" spans="5:5" ht="14.25" customHeight="1" x14ac:dyDescent="0.25">
      <c r="E930" s="2"/>
    </row>
    <row r="931" spans="5:5" ht="14.25" customHeight="1" x14ac:dyDescent="0.25">
      <c r="E931" s="2"/>
    </row>
    <row r="932" spans="5:5" ht="14.25" customHeight="1" x14ac:dyDescent="0.25">
      <c r="E932" s="2"/>
    </row>
    <row r="933" spans="5:5" ht="14.25" customHeight="1" x14ac:dyDescent="0.25">
      <c r="E933" s="2"/>
    </row>
    <row r="934" spans="5:5" ht="14.25" customHeight="1" x14ac:dyDescent="0.25">
      <c r="E934" s="2"/>
    </row>
    <row r="935" spans="5:5" ht="14.25" customHeight="1" x14ac:dyDescent="0.25">
      <c r="E935" s="2"/>
    </row>
    <row r="936" spans="5:5" ht="14.25" customHeight="1" x14ac:dyDescent="0.25">
      <c r="E936" s="2"/>
    </row>
    <row r="937" spans="5:5" ht="14.25" customHeight="1" x14ac:dyDescent="0.25">
      <c r="E937" s="2"/>
    </row>
    <row r="938" spans="5:5" ht="14.25" customHeight="1" x14ac:dyDescent="0.25">
      <c r="E938" s="2"/>
    </row>
    <row r="939" spans="5:5" ht="14.25" customHeight="1" x14ac:dyDescent="0.25">
      <c r="E939" s="2"/>
    </row>
    <row r="940" spans="5:5" ht="14.25" customHeight="1" x14ac:dyDescent="0.25">
      <c r="E940" s="2"/>
    </row>
    <row r="941" spans="5:5" ht="14.25" customHeight="1" x14ac:dyDescent="0.25">
      <c r="E941" s="2"/>
    </row>
    <row r="942" spans="5:5" ht="14.25" customHeight="1" x14ac:dyDescent="0.25">
      <c r="E942" s="2"/>
    </row>
    <row r="943" spans="5:5" ht="14.25" customHeight="1" x14ac:dyDescent="0.25">
      <c r="E943" s="2"/>
    </row>
    <row r="944" spans="5:5" ht="14.25" customHeight="1" x14ac:dyDescent="0.25">
      <c r="E944" s="2"/>
    </row>
    <row r="945" spans="5:5" ht="14.25" customHeight="1" x14ac:dyDescent="0.25">
      <c r="E945" s="2"/>
    </row>
    <row r="946" spans="5:5" ht="14.25" customHeight="1" x14ac:dyDescent="0.25">
      <c r="E946" s="2"/>
    </row>
    <row r="947" spans="5:5" ht="14.25" customHeight="1" x14ac:dyDescent="0.25">
      <c r="E947" s="2"/>
    </row>
    <row r="948" spans="5:5" ht="14.25" customHeight="1" x14ac:dyDescent="0.25">
      <c r="E948" s="2"/>
    </row>
    <row r="949" spans="5:5" ht="14.25" customHeight="1" x14ac:dyDescent="0.25">
      <c r="E949" s="2"/>
    </row>
    <row r="950" spans="5:5" ht="14.25" customHeight="1" x14ac:dyDescent="0.25">
      <c r="E950" s="2"/>
    </row>
    <row r="951" spans="5:5" ht="14.25" customHeight="1" x14ac:dyDescent="0.25">
      <c r="E951" s="2"/>
    </row>
    <row r="952" spans="5:5" ht="14.25" customHeight="1" x14ac:dyDescent="0.25">
      <c r="E952" s="2"/>
    </row>
    <row r="953" spans="5:5" ht="14.25" customHeight="1" x14ac:dyDescent="0.25">
      <c r="E953" s="2"/>
    </row>
    <row r="954" spans="5:5" ht="14.25" customHeight="1" x14ac:dyDescent="0.25">
      <c r="E954" s="2"/>
    </row>
    <row r="955" spans="5:5" ht="14.25" customHeight="1" x14ac:dyDescent="0.25">
      <c r="E955" s="2"/>
    </row>
    <row r="956" spans="5:5" ht="14.25" customHeight="1" x14ac:dyDescent="0.25">
      <c r="E956" s="2"/>
    </row>
    <row r="957" spans="5:5" ht="14.25" customHeight="1" x14ac:dyDescent="0.25">
      <c r="E957" s="2"/>
    </row>
    <row r="958" spans="5:5" ht="14.25" customHeight="1" x14ac:dyDescent="0.25">
      <c r="E958" s="2"/>
    </row>
    <row r="959" spans="5:5" ht="14.25" customHeight="1" x14ac:dyDescent="0.25">
      <c r="E959" s="2"/>
    </row>
    <row r="960" spans="5:5" ht="14.25" customHeight="1" x14ac:dyDescent="0.25">
      <c r="E960" s="2"/>
    </row>
    <row r="961" spans="5:5" ht="14.25" customHeight="1" x14ac:dyDescent="0.25">
      <c r="E961" s="2"/>
    </row>
    <row r="962" spans="5:5" ht="14.25" customHeight="1" x14ac:dyDescent="0.25">
      <c r="E962" s="2"/>
    </row>
    <row r="963" spans="5:5" ht="14.25" customHeight="1" x14ac:dyDescent="0.25">
      <c r="E963" s="2"/>
    </row>
    <row r="964" spans="5:5" ht="14.25" customHeight="1" x14ac:dyDescent="0.25">
      <c r="E964" s="2"/>
    </row>
    <row r="965" spans="5:5" ht="14.25" customHeight="1" x14ac:dyDescent="0.25">
      <c r="E965" s="2"/>
    </row>
    <row r="966" spans="5:5" ht="14.25" customHeight="1" x14ac:dyDescent="0.25">
      <c r="E966" s="2"/>
    </row>
    <row r="967" spans="5:5" ht="14.25" customHeight="1" x14ac:dyDescent="0.25">
      <c r="E967" s="2"/>
    </row>
    <row r="968" spans="5:5" ht="14.25" customHeight="1" x14ac:dyDescent="0.25">
      <c r="E968" s="2"/>
    </row>
    <row r="969" spans="5:5" ht="14.25" customHeight="1" x14ac:dyDescent="0.25">
      <c r="E969" s="2"/>
    </row>
    <row r="970" spans="5:5" ht="14.25" customHeight="1" x14ac:dyDescent="0.25">
      <c r="E970" s="2"/>
    </row>
    <row r="971" spans="5:5" ht="14.25" customHeight="1" x14ac:dyDescent="0.25">
      <c r="E971" s="2"/>
    </row>
    <row r="972" spans="5:5" ht="14.25" customHeight="1" x14ac:dyDescent="0.25">
      <c r="E972" s="2"/>
    </row>
    <row r="973" spans="5:5" ht="14.25" customHeight="1" x14ac:dyDescent="0.25">
      <c r="E973" s="2"/>
    </row>
    <row r="974" spans="5:5" ht="14.25" customHeight="1" x14ac:dyDescent="0.25">
      <c r="E974" s="2"/>
    </row>
    <row r="975" spans="5:5" ht="14.25" customHeight="1" x14ac:dyDescent="0.25">
      <c r="E975" s="2"/>
    </row>
    <row r="976" spans="5:5" ht="14.25" customHeight="1" x14ac:dyDescent="0.25">
      <c r="E976" s="2"/>
    </row>
    <row r="977" spans="5:5" ht="14.25" customHeight="1" x14ac:dyDescent="0.25">
      <c r="E977" s="2"/>
    </row>
    <row r="978" spans="5:5" ht="14.25" customHeight="1" x14ac:dyDescent="0.25">
      <c r="E978" s="2"/>
    </row>
    <row r="979" spans="5:5" ht="14.25" customHeight="1" x14ac:dyDescent="0.25">
      <c r="E979" s="2"/>
    </row>
    <row r="980" spans="5:5" ht="14.25" customHeight="1" x14ac:dyDescent="0.25">
      <c r="E980" s="2"/>
    </row>
    <row r="981" spans="5:5" ht="14.25" customHeight="1" x14ac:dyDescent="0.25">
      <c r="E981" s="2"/>
    </row>
    <row r="982" spans="5:5" ht="14.25" customHeight="1" x14ac:dyDescent="0.25">
      <c r="E982" s="2"/>
    </row>
    <row r="983" spans="5:5" ht="14.25" customHeight="1" x14ac:dyDescent="0.25">
      <c r="E983" s="2"/>
    </row>
    <row r="984" spans="5:5" ht="15" customHeight="1" x14ac:dyDescent="0.25">
      <c r="E984" s="2"/>
    </row>
    <row r="985" spans="5:5" ht="15" customHeight="1" x14ac:dyDescent="0.25">
      <c r="E985" s="2"/>
    </row>
    <row r="986" spans="5:5" ht="15" customHeight="1" x14ac:dyDescent="0.25">
      <c r="E986" s="2"/>
    </row>
    <row r="987" spans="5:5" ht="15" customHeight="1" x14ac:dyDescent="0.25">
      <c r="E987" s="2"/>
    </row>
  </sheetData>
  <mergeCells count="65">
    <mergeCell ref="I36:I37"/>
    <mergeCell ref="G36:G37"/>
    <mergeCell ref="L36:L37"/>
    <mergeCell ref="H36:H37"/>
    <mergeCell ref="J36:J37"/>
    <mergeCell ref="K36:K37"/>
    <mergeCell ref="A44:C44"/>
    <mergeCell ref="H44:L44"/>
    <mergeCell ref="D46:I46"/>
    <mergeCell ref="D47:I47"/>
    <mergeCell ref="H34:H35"/>
    <mergeCell ref="A38:C38"/>
    <mergeCell ref="A41:C41"/>
    <mergeCell ref="A43:C43"/>
    <mergeCell ref="H43:L43"/>
    <mergeCell ref="A36:A37"/>
    <mergeCell ref="A34:A35"/>
    <mergeCell ref="B34:C35"/>
    <mergeCell ref="D34:D35"/>
    <mergeCell ref="E34:E35"/>
    <mergeCell ref="F34:F35"/>
    <mergeCell ref="G34:G35"/>
    <mergeCell ref="B36:C37"/>
    <mergeCell ref="K32:L32"/>
    <mergeCell ref="K26:L27"/>
    <mergeCell ref="A28:C28"/>
    <mergeCell ref="D28:F28"/>
    <mergeCell ref="G28:J28"/>
    <mergeCell ref="K28:L28"/>
    <mergeCell ref="A29:C29"/>
    <mergeCell ref="D29:F29"/>
    <mergeCell ref="G29:J29"/>
    <mergeCell ref="K29:L29"/>
    <mergeCell ref="A30:C30"/>
    <mergeCell ref="D30:F30"/>
    <mergeCell ref="G30:J30"/>
    <mergeCell ref="K30:L30"/>
    <mergeCell ref="K31:L31"/>
    <mergeCell ref="H21:H22"/>
    <mergeCell ref="A23:C23"/>
    <mergeCell ref="E23:G23"/>
    <mergeCell ref="A26:C27"/>
    <mergeCell ref="D26:F27"/>
    <mergeCell ref="G26:J27"/>
    <mergeCell ref="E21:G22"/>
    <mergeCell ref="B18:C18"/>
    <mergeCell ref="B19:C19"/>
    <mergeCell ref="A21:A22"/>
    <mergeCell ref="B21:C22"/>
    <mergeCell ref="D21:D22"/>
    <mergeCell ref="A9:L9"/>
    <mergeCell ref="A14:L14"/>
    <mergeCell ref="A16:A17"/>
    <mergeCell ref="B16:C17"/>
    <mergeCell ref="D16:D17"/>
    <mergeCell ref="E16:E17"/>
    <mergeCell ref="F16:F17"/>
    <mergeCell ref="G16:G17"/>
    <mergeCell ref="H16:H17"/>
    <mergeCell ref="A7:L7"/>
    <mergeCell ref="A2:L2"/>
    <mergeCell ref="A3:L3"/>
    <mergeCell ref="A4:L4"/>
    <mergeCell ref="A5:L5"/>
    <mergeCell ref="A6:L6"/>
  </mergeCells>
  <pageMargins left="0.5" right="0.25" top="0.25" bottom="0.25" header="0" footer="0"/>
  <pageSetup paperSize="5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Faculty</vt:lpstr>
      <vt:lpstr>Casiño G</vt:lpstr>
      <vt:lpstr>CasiñoK</vt:lpstr>
      <vt:lpstr>Caturan A</vt:lpstr>
      <vt:lpstr>Actub P</vt:lpstr>
      <vt:lpstr>DelRosario J</vt:lpstr>
      <vt:lpstr>Eduave G</vt:lpstr>
      <vt:lpstr>Llemit A</vt:lpstr>
      <vt:lpstr>Molawan A</vt:lpstr>
      <vt:lpstr>Oyok A</vt:lpstr>
      <vt:lpstr>Pada J</vt:lpstr>
      <vt:lpstr>Padilla J</vt:lpstr>
      <vt:lpstr>Perez N</vt:lpstr>
      <vt:lpstr>Razalo J</vt:lpstr>
      <vt:lpstr>Roa N</vt:lpstr>
      <vt:lpstr>Tabada J</vt:lpstr>
      <vt:lpstr>Waga KR</vt:lpstr>
      <vt:lpstr>Lagulay E</vt:lpstr>
      <vt:lpstr>Romero M</vt:lpstr>
      <vt:lpstr>Ubalde M</vt:lpstr>
      <vt:lpstr>Ranara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rielGabs</dc:creator>
  <cp:lastModifiedBy>rielG</cp:lastModifiedBy>
  <cp:lastPrinted>2023-08-28T07:21:01Z</cp:lastPrinted>
  <dcterms:created xsi:type="dcterms:W3CDTF">2022-01-09T02:59:39Z</dcterms:created>
  <dcterms:modified xsi:type="dcterms:W3CDTF">2023-08-28T12:52:43Z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ecc46b90-7748-4efe-b4d0-061051a03e26</vt:lpwstr>
  </property>
</Properties>
</file>